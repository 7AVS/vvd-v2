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EXT\EU\"/>
    </mc:Choice>
  </mc:AlternateContent>
  <xr:revisionPtr revIDLastSave="0" documentId="13_ncr:1_{68FD1301-5C70-44C7-B090-B4A7606B211B}" xr6:coauthVersionLast="47" xr6:coauthVersionMax="47" xr10:uidLastSave="{00000000-0000-0000-0000-000000000000}"/>
  <bookViews>
    <workbookView xWindow="-20" yWindow="-530" windowWidth="22440" windowHeight="14200" tabRatio="500" xr2:uid="{00000000-000D-0000-FFFF-FFFF00000000}"/>
  </bookViews>
  <sheets>
    <sheet name="MDE Calculato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  <c r="C50" i="1"/>
  <c r="F46" i="1"/>
  <c r="E46" i="1"/>
  <c r="F45" i="1"/>
  <c r="E45" i="1"/>
  <c r="F44" i="1"/>
  <c r="E44" i="1"/>
  <c r="F43" i="1"/>
  <c r="E43" i="1"/>
  <c r="F41" i="1"/>
  <c r="E41" i="1"/>
  <c r="F40" i="1"/>
  <c r="E40" i="1"/>
  <c r="F39" i="1"/>
  <c r="E39" i="1"/>
  <c r="F37" i="1"/>
  <c r="E37" i="1"/>
  <c r="F36" i="1"/>
  <c r="E36" i="1"/>
  <c r="F35" i="1"/>
  <c r="E35" i="1"/>
  <c r="F33" i="1"/>
  <c r="E33" i="1"/>
  <c r="F32" i="1"/>
  <c r="E32" i="1"/>
  <c r="F31" i="1"/>
  <c r="E31" i="1"/>
  <c r="F29" i="1"/>
  <c r="E29" i="1"/>
  <c r="F28" i="1"/>
  <c r="E28" i="1"/>
  <c r="F27" i="1"/>
  <c r="E27" i="1"/>
  <c r="H22" i="1"/>
  <c r="H21" i="1"/>
  <c r="E21" i="1"/>
  <c r="H20" i="1"/>
  <c r="E20" i="1"/>
  <c r="H19" i="1"/>
  <c r="E19" i="1"/>
  <c r="E18" i="1"/>
  <c r="H17" i="1"/>
  <c r="E17" i="1"/>
  <c r="H16" i="1"/>
  <c r="E16" i="1"/>
  <c r="H15" i="1"/>
  <c r="E15" i="1"/>
  <c r="E14" i="1"/>
  <c r="C14" i="1"/>
  <c r="C17" i="1" s="1"/>
  <c r="C13" i="1"/>
  <c r="D13" i="1" s="1"/>
  <c r="N5" i="1"/>
  <c r="M5" i="1"/>
  <c r="L5" i="1"/>
  <c r="E5" i="1"/>
  <c r="C18" i="1" s="1"/>
  <c r="E55" i="1" l="1"/>
  <c r="F55" i="1" s="1"/>
  <c r="D18" i="1"/>
  <c r="C20" i="1"/>
  <c r="C21" i="1"/>
  <c r="C19" i="1"/>
  <c r="D52" i="1"/>
  <c r="D17" i="1"/>
  <c r="G17" i="1"/>
  <c r="D33" i="1" s="1"/>
  <c r="F17" i="1"/>
  <c r="C15" i="1"/>
  <c r="H29" i="1"/>
  <c r="H36" i="1"/>
  <c r="H43" i="1"/>
  <c r="E52" i="1"/>
  <c r="F52" i="1" s="1"/>
  <c r="G52" i="1" s="1"/>
  <c r="I54" i="1"/>
  <c r="C16" i="1"/>
  <c r="H32" i="1"/>
  <c r="H39" i="1"/>
  <c r="H45" i="1"/>
  <c r="H53" i="1"/>
  <c r="J53" i="1" s="1"/>
  <c r="E54" i="1"/>
  <c r="F54" i="1" s="1"/>
  <c r="H28" i="1"/>
  <c r="H35" i="1"/>
  <c r="H41" i="1"/>
  <c r="E51" i="1"/>
  <c r="F51" i="1" s="1"/>
  <c r="I53" i="1"/>
  <c r="H55" i="1"/>
  <c r="J55" i="1" s="1"/>
  <c r="D14" i="1"/>
  <c r="H31" i="1"/>
  <c r="H37" i="1"/>
  <c r="H44" i="1"/>
  <c r="H52" i="1"/>
  <c r="J52" i="1" s="1"/>
  <c r="E53" i="1"/>
  <c r="F53" i="1" s="1"/>
  <c r="I55" i="1"/>
  <c r="H27" i="1"/>
  <c r="H33" i="1"/>
  <c r="H40" i="1"/>
  <c r="H46" i="1"/>
  <c r="E50" i="1"/>
  <c r="F50" i="1" s="1"/>
  <c r="I52" i="1"/>
  <c r="H54" i="1"/>
  <c r="J54" i="1" s="1"/>
  <c r="G51" i="1" l="1"/>
  <c r="F16" i="1"/>
  <c r="D16" i="1"/>
  <c r="D51" i="1"/>
  <c r="G16" i="1"/>
  <c r="D32" i="1" s="1"/>
  <c r="G15" i="1"/>
  <c r="D50" i="1"/>
  <c r="F15" i="1"/>
  <c r="G50" i="1"/>
  <c r="D15" i="1"/>
  <c r="D44" i="1"/>
  <c r="C33" i="1"/>
  <c r="G33" i="1" s="1"/>
  <c r="C41" i="1"/>
  <c r="D43" i="1"/>
  <c r="F19" i="1"/>
  <c r="D19" i="1"/>
  <c r="D53" i="1"/>
  <c r="G53" i="1"/>
  <c r="G19" i="1"/>
  <c r="D21" i="1"/>
  <c r="G21" i="1"/>
  <c r="D37" i="1" s="1"/>
  <c r="D55" i="1"/>
  <c r="G55" i="1"/>
  <c r="F21" i="1"/>
  <c r="I50" i="1"/>
  <c r="I51" i="1"/>
  <c r="H51" i="1"/>
  <c r="J51" i="1" s="1"/>
  <c r="G54" i="1"/>
  <c r="D20" i="1"/>
  <c r="G20" i="1"/>
  <c r="D36" i="1" s="1"/>
  <c r="D54" i="1"/>
  <c r="F20" i="1"/>
  <c r="H50" i="1"/>
  <c r="J50" i="1" s="1"/>
  <c r="B56" i="1" s="1"/>
  <c r="D41" i="1" l="1"/>
  <c r="G41" i="1" s="1"/>
  <c r="C37" i="1"/>
  <c r="G37" i="1" s="1"/>
  <c r="D45" i="1"/>
  <c r="D46" i="1"/>
  <c r="J33" i="1"/>
  <c r="I33" i="1"/>
  <c r="C40" i="1"/>
  <c r="C44" i="1"/>
  <c r="G44" i="1" s="1"/>
  <c r="C32" i="1"/>
  <c r="G32" i="1" s="1"/>
  <c r="D39" i="1"/>
  <c r="C35" i="1"/>
  <c r="C45" i="1"/>
  <c r="C29" i="1"/>
  <c r="D27" i="1"/>
  <c r="D35" i="1"/>
  <c r="D29" i="1"/>
  <c r="C27" i="1"/>
  <c r="C31" i="1"/>
  <c r="G31" i="1" s="1"/>
  <c r="C28" i="1"/>
  <c r="C39" i="1"/>
  <c r="F22" i="1"/>
  <c r="C43" i="1"/>
  <c r="G43" i="1" s="1"/>
  <c r="C22" i="1"/>
  <c r="D22" i="1" s="1"/>
  <c r="C46" i="1"/>
  <c r="G46" i="1" s="1"/>
  <c r="D40" i="1"/>
  <c r="C36" i="1"/>
  <c r="G36" i="1" s="1"/>
  <c r="D31" i="1"/>
  <c r="G22" i="1"/>
  <c r="D28" i="1"/>
  <c r="G29" i="1" l="1"/>
  <c r="J29" i="1" s="1"/>
  <c r="G40" i="1"/>
  <c r="J46" i="1"/>
  <c r="I46" i="1"/>
  <c r="G28" i="1"/>
  <c r="I31" i="1"/>
  <c r="J31" i="1"/>
  <c r="J32" i="1"/>
  <c r="I32" i="1"/>
  <c r="J43" i="1"/>
  <c r="I43" i="1"/>
  <c r="G27" i="1"/>
  <c r="I44" i="1"/>
  <c r="J44" i="1"/>
  <c r="J36" i="1"/>
  <c r="I36" i="1"/>
  <c r="J41" i="1"/>
  <c r="I41" i="1"/>
  <c r="G45" i="1"/>
  <c r="J40" i="1"/>
  <c r="I40" i="1"/>
  <c r="I37" i="1"/>
  <c r="J37" i="1"/>
  <c r="G39" i="1"/>
  <c r="G35" i="1"/>
  <c r="I29" i="1" l="1"/>
  <c r="J35" i="1"/>
  <c r="I35" i="1"/>
  <c r="J27" i="1"/>
  <c r="I27" i="1"/>
  <c r="J39" i="1"/>
  <c r="I39" i="1"/>
  <c r="J45" i="1"/>
  <c r="I45" i="1"/>
  <c r="J28" i="1"/>
  <c r="I28" i="1"/>
</calcChain>
</file>

<file path=xl/sharedStrings.xml><?xml version="1.0" encoding="utf-8"?>
<sst xmlns="http://schemas.openxmlformats.org/spreadsheetml/2006/main" count="104" uniqueCount="91">
  <si>
    <t>── POPULATION ──</t>
  </si>
  <si>
    <t>── ARM SPLIT ──</t>
  </si>
  <si>
    <t>── MODEL DIST. ──</t>
  </si>
  <si>
    <t>── CONTROL % ──</t>
  </si>
  <si>
    <t>── STAT PARAMS ──</t>
  </si>
  <si>
    <t>── Za / Zβ ──</t>
  </si>
  <si>
    <t>Total pop</t>
  </si>
  <si>
    <t>Baseline p₀</t>
  </si>
  <si>
    <t>Arm 1 %
(Com+Offer)</t>
  </si>
  <si>
    <t>Arm 2 %
(auto)</t>
  </si>
  <si>
    <t>Web %</t>
  </si>
  <si>
    <t>Score %</t>
  </si>
  <si>
    <t>Random %</t>
  </si>
  <si>
    <t>Control %
(all cells)</t>
  </si>
  <si>
    <t>Alpha</t>
  </si>
  <si>
    <t>Power</t>
  </si>
  <si>
    <t>Sum check</t>
  </si>
  <si>
    <t>Zα/2
(auto)</t>
  </si>
  <si>
    <t>Zβ
(auto)</t>
  </si>
  <si>
    <t>EXPECTED LIFT PER CELL (editable — used in MDE &amp; power calculations)</t>
  </si>
  <si>
    <t>Arm 1
Web lift</t>
  </si>
  <si>
    <t>Arm 1
Score lift</t>
  </si>
  <si>
    <t>Arm 1
Random lift</t>
  </si>
  <si>
    <t>Arm 2
Web lift</t>
  </si>
  <si>
    <t>Arm 2
Score lift</t>
  </si>
  <si>
    <t>Arm 2
Random lift</t>
  </si>
  <si>
    <t>Arm 1
overall lift</t>
  </si>
  <si>
    <t>Arm 2
overall lift</t>
  </si>
  <si>
    <t>Expected lift</t>
  </si>
  <si>
    <t>POPULATION BREAKDOWN  —  Total → Arm → Model → Treatment / Control</t>
  </si>
  <si>
    <t>Level</t>
  </si>
  <si>
    <t>n</t>
  </si>
  <si>
    <t>% of total</t>
  </si>
  <si>
    <t>% of arm</t>
  </si>
  <si>
    <t>Treatment n</t>
  </si>
  <si>
    <t>Control n</t>
  </si>
  <si>
    <t>Ctrl %
(check)</t>
  </si>
  <si>
    <t>Total population</t>
  </si>
  <si>
    <t>—</t>
  </si>
  <si>
    <t>Arm 1 — Com+Offer</t>
  </si>
  <si>
    <t xml:space="preserve">  Web</t>
  </si>
  <si>
    <t xml:space="preserve">  Score</t>
  </si>
  <si>
    <t xml:space="preserve">  Random</t>
  </si>
  <si>
    <t>Arm 2 — Com Only</t>
  </si>
  <si>
    <t>TOTAL — Treatment</t>
  </si>
  <si>
    <t>POWER &amp; MDE — ALL COMPARISONS  |  MDE = (Zα/2+Zβ)×√[p₀(1−p₀)×(1/n_treat+1/n_ctrl)]  |  Green = powered  |  Red = underpowered</t>
  </si>
  <si>
    <t>Comparison</t>
  </si>
  <si>
    <t>n Treatment</t>
  </si>
  <si>
    <t>n Control</t>
  </si>
  <si>
    <t>p₀
(baseline)</t>
  </si>
  <si>
    <t>Expected
lift</t>
  </si>
  <si>
    <t>MDE
(actual)</t>
  </si>
  <si>
    <t>Req. n
(equal grp)</t>
  </si>
  <si>
    <t>Powered?</t>
  </si>
  <si>
    <t>Action</t>
  </si>
  <si>
    <t>ARM-LEVEL COMPARISONS</t>
  </si>
  <si>
    <t>Arm1 total  vs  Arm2 total  (offer lift — overall)</t>
  </si>
  <si>
    <t>Arm1 total  vs  Arm1 control  (arm1 lift vs nothing)</t>
  </si>
  <si>
    <t>Arm2 total  vs  Arm2 control  (arm2 lift vs nothing)</t>
  </si>
  <si>
    <t>ARM 1 — CELL-LEVEL  (Com+Offer)</t>
  </si>
  <si>
    <t>Arm1 Web  vs  Arm1 Web control</t>
  </si>
  <si>
    <t>Arm1 Score  vs  Arm1 Score control</t>
  </si>
  <si>
    <t>Arm1 Random  vs  Arm1 Random control</t>
  </si>
  <si>
    <t>ARM 2 — CELL-LEVEL  (Com Only)</t>
  </si>
  <si>
    <t>Arm2 Web  vs  Arm2 Web control</t>
  </si>
  <si>
    <t>Arm2 Score  vs  Arm2 Score control</t>
  </si>
  <si>
    <t>Arm2 Random  vs  Arm2 Random control</t>
  </si>
  <si>
    <t>OFFER LIFT — ARM1 vs ARM2 BY MODEL  (same model, diff treatment)</t>
  </si>
  <si>
    <t>Web:    Arm1 treat  vs  Arm2 treat</t>
  </si>
  <si>
    <t>Score:  Arm1 treat  vs  Arm2 treat</t>
  </si>
  <si>
    <t>Random: Arm1 treat  vs  Arm2 treat</t>
  </si>
  <si>
    <t>MODEL QUALITY — does model beat random?</t>
  </si>
  <si>
    <t>Arm1: Web treat  vs  Arm1 Random treat</t>
  </si>
  <si>
    <t>Arm1: Score treat  vs  Arm1 Random treat</t>
  </si>
  <si>
    <t>Arm2: Web treat  vs  Arm2 Random treat</t>
  </si>
  <si>
    <t>Arm2: Score treat  vs  Arm2 Random treat</t>
  </si>
  <si>
    <t>BOTTLENECK  —  Feasibility per cell. Change Power (K5), Lift (row 9), or Arm split (D5) to see impact.</t>
  </si>
  <si>
    <t>Cell</t>
  </si>
  <si>
    <t>Cell
total n</t>
  </si>
  <si>
    <t>Req n
per group</t>
  </si>
  <si>
    <t>Min pop
(2×req n)</t>
  </si>
  <si>
    <t>Feasible?
(need 2×req)</t>
  </si>
  <si>
    <t>MDE at
current ctrl%</t>
  </si>
  <si>
    <t>MDE at
50% ctrl</t>
  </si>
  <si>
    <t>Status</t>
  </si>
  <si>
    <t>Arm1 — Web</t>
  </si>
  <si>
    <t>Arm1 — Score</t>
  </si>
  <si>
    <t>Arm1 — Random</t>
  </si>
  <si>
    <t>Arm2 — Web</t>
  </si>
  <si>
    <t>Arm2 — Score</t>
  </si>
  <si>
    <t>Arm2 —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</si>
</sst>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1F3864"/>
      <name val="Arial"/>
      <charset val="1"/>
    </font>
    <font>
      <b/>
      <sz val="9"/>
      <color rgb="FF375623"/>
      <name val="Arial"/>
      <charset val="1"/>
    </font>
    <font>
      <b/>
      <sz val="9"/>
      <color rgb="FF7B3F00"/>
      <name val="Arial"/>
      <charset val="1"/>
    </font>
    <font>
      <b/>
      <sz val="10"/>
      <color rgb="FF0000CD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1F3864"/>
      <name val="Arial"/>
      <charset val="1"/>
    </font>
    <font>
      <b/>
      <sz val="10"/>
      <color rgb="FF375623"/>
      <name val="Arial"/>
      <charset val="1"/>
    </font>
    <font>
      <sz val="10"/>
      <color rgb="FF375623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F3864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D6E4F0"/>
        <bgColor rgb="FFDEEAF1"/>
      </patternFill>
    </fill>
    <fill>
      <patternFill patternType="solid">
        <fgColor rgb="FFDEEAF1"/>
        <bgColor rgb="FFD6E4F0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D6E4F0"/>
      </patternFill>
    </fill>
    <fill>
      <patternFill patternType="solid">
        <fgColor rgb="FFEBF3FF"/>
        <bgColor rgb="FFF5F5F5"/>
      </patternFill>
    </fill>
    <fill>
      <patternFill patternType="solid">
        <fgColor rgb="FFF5F5F5"/>
        <bgColor rgb="FFEBF3FF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</fills>
  <borders count="6">
    <border>
      <left/>
      <right/>
      <top/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A9CC4"/>
      </left>
      <right style="thin">
        <color rgb="FF7A9CC4"/>
      </right>
      <top style="thin">
        <color rgb="FF7A9CC4"/>
      </top>
      <bottom style="thin">
        <color rgb="FF7A9CC4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4" fillId="5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2" borderId="0" xfId="0" applyFill="1" applyAlignment="1"/>
    <xf numFmtId="0" fontId="3" fillId="5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center" vertical="center" wrapText="1"/>
    </xf>
    <xf numFmtId="3" fontId="5" fillId="8" borderId="4" xfId="0" applyNumberFormat="1" applyFont="1" applyFill="1" applyBorder="1" applyAlignment="1">
      <alignment horizontal="center" vertical="center"/>
    </xf>
    <xf numFmtId="10" fontId="5" fillId="8" borderId="4" xfId="0" applyNumberFormat="1" applyFont="1" applyFill="1" applyBorder="1" applyAlignment="1">
      <alignment horizontal="center" vertical="center"/>
    </xf>
    <xf numFmtId="9" fontId="5" fillId="8" borderId="4" xfId="0" applyNumberFormat="1" applyFont="1" applyFill="1" applyBorder="1" applyAlignment="1">
      <alignment horizontal="center" vertical="center"/>
    </xf>
    <xf numFmtId="9" fontId="6" fillId="9" borderId="3" xfId="0" applyNumberFormat="1" applyFont="1" applyFill="1" applyBorder="1" applyAlignment="1">
      <alignment horizontal="center" vertical="center"/>
    </xf>
    <xf numFmtId="164" fontId="6" fillId="9" borderId="3" xfId="0" applyNumberFormat="1" applyFont="1" applyFill="1" applyBorder="1" applyAlignment="1">
      <alignment horizontal="center" vertical="center"/>
    </xf>
    <xf numFmtId="0" fontId="0" fillId="2" borderId="5" xfId="0" applyFill="1" applyBorder="1" applyAlignment="1"/>
    <xf numFmtId="0" fontId="6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/>
    </xf>
    <xf numFmtId="3" fontId="8" fillId="9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3" fontId="8" fillId="4" borderId="3" xfId="0" applyNumberFormat="1" applyFont="1" applyFill="1" applyBorder="1" applyAlignment="1">
      <alignment horizontal="center" vertical="center"/>
    </xf>
    <xf numFmtId="9" fontId="6" fillId="4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3" fontId="6" fillId="4" borderId="3" xfId="0" applyNumberFormat="1" applyFont="1" applyFill="1" applyBorder="1" applyAlignment="1">
      <alignment horizontal="center" vertical="center"/>
    </xf>
    <xf numFmtId="3" fontId="10" fillId="5" borderId="3" xfId="0" applyNumberFormat="1" applyFont="1" applyFill="1" applyBorder="1" applyAlignment="1">
      <alignment horizontal="center" vertical="center"/>
    </xf>
    <xf numFmtId="9" fontId="11" fillId="5" borderId="3" xfId="0" applyNumberFormat="1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/>
    </xf>
    <xf numFmtId="3" fontId="8" fillId="11" borderId="3" xfId="0" applyNumberFormat="1" applyFont="1" applyFill="1" applyBorder="1" applyAlignment="1">
      <alignment horizontal="center" vertical="center"/>
    </xf>
    <xf numFmtId="9" fontId="6" fillId="11" borderId="3" xfId="0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left" vertical="center"/>
    </xf>
    <xf numFmtId="3" fontId="6" fillId="11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3" fontId="8" fillId="7" borderId="3" xfId="0" applyNumberFormat="1" applyFont="1" applyFill="1" applyBorder="1" applyAlignment="1">
      <alignment horizontal="center" vertical="center"/>
    </xf>
    <xf numFmtId="9" fontId="8" fillId="7" borderId="3" xfId="0" applyNumberFormat="1" applyFont="1" applyFill="1" applyBorder="1" applyAlignment="1">
      <alignment horizontal="center" vertical="center"/>
    </xf>
    <xf numFmtId="10" fontId="6" fillId="4" borderId="3" xfId="0" applyNumberFormat="1" applyFont="1" applyFill="1" applyBorder="1" applyAlignment="1">
      <alignment horizontal="center" vertical="center"/>
    </xf>
    <xf numFmtId="10" fontId="8" fillId="4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0" fontId="6" fillId="11" borderId="3" xfId="0" applyNumberFormat="1" applyFont="1" applyFill="1" applyBorder="1" applyAlignment="1">
      <alignment horizontal="center" vertical="center"/>
    </xf>
    <xf numFmtId="10" fontId="8" fillId="11" borderId="3" xfId="0" applyNumberFormat="1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3" fontId="6" fillId="5" borderId="3" xfId="0" applyNumberFormat="1" applyFont="1" applyFill="1" applyBorder="1" applyAlignment="1">
      <alignment horizontal="center" vertical="center"/>
    </xf>
    <xf numFmtId="10" fontId="6" fillId="5" borderId="3" xfId="0" applyNumberFormat="1" applyFont="1" applyFill="1" applyBorder="1" applyAlignment="1">
      <alignment horizontal="center" vertical="center"/>
    </xf>
    <xf numFmtId="10" fontId="8" fillId="5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11" borderId="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</cellXfs>
  <cellStyles count="1">
    <cellStyle name="Normal" xfId="0" builtinId="0"/>
  </cellStyles>
  <dxfs count="10">
    <dxf>
      <font>
        <b/>
        <sz val="10"/>
        <color rgb="FF7B3F00"/>
        <name val="Arial"/>
        <charset val="1"/>
      </font>
      <fill>
        <patternFill>
          <bgColor rgb="FFFFF2CC"/>
        </patternFill>
      </fill>
    </dxf>
    <dxf>
      <font>
        <b/>
        <sz val="10"/>
        <color rgb="FF375623"/>
        <name val="Arial"/>
        <charset val="1"/>
      </font>
      <fill>
        <patternFill>
          <bgColor rgb="FFC6EFCE"/>
        </patternFill>
      </fill>
    </dxf>
    <dxf>
      <font>
        <b/>
        <sz val="10"/>
        <color rgb="FFC00000"/>
        <name val="Arial"/>
        <charset val="1"/>
      </font>
      <fill>
        <patternFill>
          <bgColor rgb="FFFFC7CE"/>
        </patternFill>
      </fill>
    </dxf>
    <dxf>
      <font>
        <b/>
        <sz val="10"/>
        <color rgb="FF375623"/>
        <name val="Arial"/>
        <charset val="1"/>
      </font>
      <fill>
        <patternFill>
          <bgColor rgb="FFC6EFCE"/>
        </patternFill>
      </fill>
    </dxf>
    <dxf>
      <font>
        <b/>
        <sz val="10"/>
        <color rgb="FFC00000"/>
        <name val="Arial"/>
        <charset val="1"/>
      </font>
      <fill>
        <patternFill>
          <bgColor rgb="FFFFC7CE"/>
        </patternFill>
      </fill>
    </dxf>
    <dxf>
      <font>
        <b/>
        <sz val="10"/>
        <color rgb="FF375623"/>
        <name val="Arial"/>
        <charset val="1"/>
      </font>
      <fill>
        <patternFill>
          <bgColor rgb="FFC6EFCE"/>
        </patternFill>
      </fill>
    </dxf>
    <dxf>
      <font>
        <b/>
        <sz val="10"/>
        <color rgb="FFC00000"/>
        <name val="Arial"/>
        <charset val="1"/>
      </font>
      <fill>
        <patternFill>
          <bgColor rgb="FFFFC7CE"/>
        </patternFill>
      </fill>
    </dxf>
    <dxf>
      <font>
        <b/>
        <sz val="10"/>
        <color rgb="FF375623"/>
        <name val="Arial"/>
        <charset val="1"/>
      </font>
      <fill>
        <patternFill>
          <bgColor rgb="FFC6EFCE"/>
        </patternFill>
      </fill>
    </dxf>
    <dxf>
      <font>
        <b/>
        <sz val="10"/>
        <color rgb="FFC00000"/>
        <name val="Arial"/>
        <charset val="1"/>
      </font>
      <fill>
        <patternFill>
          <bgColor rgb="FFFFC7CE"/>
        </patternFill>
      </fill>
    </dxf>
    <dxf>
      <font>
        <b/>
        <sz val="10"/>
        <color rgb="FF375623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D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BF3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CE4D6"/>
      <rgbColor rgb="FFD6E4F0"/>
      <rgbColor rgb="FFEEEEEE"/>
      <rgbColor rgb="FFE2EFDA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7A9CC4"/>
      <rgbColor rgb="FF1F3864"/>
      <rgbColor rgb="FF339966"/>
      <rgbColor rgb="FF003300"/>
      <rgbColor rgb="FF375623"/>
      <rgbColor rgb="FF7B3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showGridLines="0" tabSelected="1" zoomScaleNormal="100" workbookViewId="0">
      <pane ySplit="3" topLeftCell="A5" activePane="bottomLeft" state="frozen"/>
      <selection pane="bottomLeft" activeCell="I18" sqref="I18"/>
    </sheetView>
  </sheetViews>
  <sheetFormatPr defaultColWidth="8.6328125" defaultRowHeight="14.5" x14ac:dyDescent="0.35"/>
  <cols>
    <col min="1" max="1" width="2" style="9" customWidth="1"/>
    <col min="2" max="2" width="41.08984375" style="9" bestFit="1" customWidth="1"/>
    <col min="3" max="8" width="13" style="9" customWidth="1"/>
    <col min="9" max="9" width="16.6328125" style="9" bestFit="1" customWidth="1"/>
    <col min="10" max="13" width="13" style="9" customWidth="1"/>
    <col min="14" max="14" width="22" style="9" customWidth="1"/>
  </cols>
  <sheetData>
    <row r="1" spans="1:14" ht="30" customHeight="1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5" customHeight="1" x14ac:dyDescent="0.35">
      <c r="A2" s="10"/>
    </row>
    <row r="3" spans="1:14" ht="18" customHeight="1" x14ac:dyDescent="0.35">
      <c r="A3" s="10"/>
      <c r="B3" s="7" t="s">
        <v>0</v>
      </c>
      <c r="C3" s="7"/>
      <c r="D3" s="6" t="s">
        <v>1</v>
      </c>
      <c r="E3" s="6"/>
      <c r="F3" s="5" t="s">
        <v>2</v>
      </c>
      <c r="G3" s="5"/>
      <c r="H3" s="5"/>
      <c r="I3" s="11" t="s">
        <v>3</v>
      </c>
      <c r="J3" s="4" t="s">
        <v>4</v>
      </c>
      <c r="K3" s="4"/>
      <c r="L3" s="4"/>
      <c r="M3" s="3" t="s">
        <v>5</v>
      </c>
      <c r="N3" s="3"/>
    </row>
    <row r="4" spans="1:14" ht="24" customHeight="1" x14ac:dyDescent="0.35">
      <c r="A4" s="10"/>
      <c r="B4" s="12" t="s">
        <v>6</v>
      </c>
      <c r="C4" s="12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2" t="s">
        <v>14</v>
      </c>
      <c r="K4" s="12" t="s">
        <v>15</v>
      </c>
      <c r="L4" s="12" t="s">
        <v>16</v>
      </c>
      <c r="M4" s="12" t="s">
        <v>17</v>
      </c>
      <c r="N4" s="12" t="s">
        <v>18</v>
      </c>
    </row>
    <row r="5" spans="1:14" ht="25.5" customHeight="1" x14ac:dyDescent="0.35">
      <c r="A5" s="10"/>
      <c r="B5" s="13">
        <v>539622</v>
      </c>
      <c r="C5" s="14">
        <v>5.0000000000000001E-4</v>
      </c>
      <c r="D5" s="15">
        <v>0.5</v>
      </c>
      <c r="E5" s="16">
        <f>1-D5</f>
        <v>0.5</v>
      </c>
      <c r="F5" s="15">
        <v>0.24</v>
      </c>
      <c r="G5" s="15">
        <v>0.23</v>
      </c>
      <c r="H5" s="15">
        <v>0.53</v>
      </c>
      <c r="I5" s="15">
        <v>0.5</v>
      </c>
      <c r="J5" s="15">
        <v>0.05</v>
      </c>
      <c r="K5" s="15">
        <v>0.8</v>
      </c>
      <c r="L5" s="16">
        <f>F5+G5+H5</f>
        <v>1</v>
      </c>
      <c r="M5" s="17">
        <f>NORMSINV(1-J5/2)</f>
        <v>1.9599639845400536</v>
      </c>
      <c r="N5" s="17">
        <f>NORMSINV(K5)</f>
        <v>0.84162123357291474</v>
      </c>
    </row>
    <row r="6" spans="1:14" ht="4.5" customHeight="1" x14ac:dyDescent="0.3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ht="18" customHeight="1" x14ac:dyDescent="0.35">
      <c r="A7" s="10"/>
      <c r="B7" s="7" t="s">
        <v>19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19.5" customHeight="1" x14ac:dyDescent="0.35">
      <c r="A8" s="10"/>
      <c r="B8" s="12"/>
      <c r="C8" s="12" t="s">
        <v>20</v>
      </c>
      <c r="D8" s="12" t="s">
        <v>21</v>
      </c>
      <c r="E8" s="12" t="s">
        <v>22</v>
      </c>
      <c r="F8" s="12" t="s">
        <v>23</v>
      </c>
      <c r="G8" s="12" t="s">
        <v>24</v>
      </c>
      <c r="H8" s="12" t="s">
        <v>25</v>
      </c>
      <c r="I8" s="12" t="s">
        <v>26</v>
      </c>
      <c r="J8" s="12" t="s">
        <v>27</v>
      </c>
      <c r="K8" s="19"/>
      <c r="L8" s="19"/>
      <c r="M8" s="19"/>
      <c r="N8" s="19"/>
    </row>
    <row r="9" spans="1:14" ht="25.5" customHeight="1" x14ac:dyDescent="0.35">
      <c r="A9" s="10"/>
      <c r="B9" s="20" t="s">
        <v>28</v>
      </c>
      <c r="C9" s="14">
        <v>8.0000000000000004E-4</v>
      </c>
      <c r="D9" s="14">
        <v>6.9999999999999999E-4</v>
      </c>
      <c r="E9" s="14">
        <v>5.0000000000000001E-4</v>
      </c>
      <c r="F9" s="14">
        <v>5.9999999999999995E-4</v>
      </c>
      <c r="G9" s="14">
        <v>5.0000000000000001E-4</v>
      </c>
      <c r="H9" s="14">
        <v>4.0000000000000002E-4</v>
      </c>
      <c r="I9" s="14">
        <v>5.0000000000000001E-4</v>
      </c>
      <c r="J9" s="14">
        <v>4.0000000000000002E-4</v>
      </c>
      <c r="K9" s="21"/>
      <c r="L9" s="21"/>
      <c r="M9" s="21"/>
      <c r="N9" s="21"/>
    </row>
    <row r="10" spans="1:14" ht="4.5" customHeight="1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ht="18" customHeight="1" x14ac:dyDescent="0.35">
      <c r="A11" s="10"/>
      <c r="B11" s="7" t="s">
        <v>29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ht="21.75" customHeight="1" x14ac:dyDescent="0.35">
      <c r="A12" s="10"/>
      <c r="B12" s="22" t="s">
        <v>30</v>
      </c>
      <c r="C12" s="22" t="s">
        <v>31</v>
      </c>
      <c r="D12" s="22" t="s">
        <v>32</v>
      </c>
      <c r="E12" s="22" t="s">
        <v>33</v>
      </c>
      <c r="F12" s="22" t="s">
        <v>34</v>
      </c>
      <c r="G12" s="22" t="s">
        <v>35</v>
      </c>
      <c r="H12" s="22" t="s">
        <v>36</v>
      </c>
      <c r="I12" s="23"/>
      <c r="J12" s="23"/>
      <c r="K12" s="23"/>
      <c r="L12" s="23"/>
      <c r="M12" s="23"/>
      <c r="N12" s="23"/>
    </row>
    <row r="13" spans="1:14" ht="19.5" customHeight="1" x14ac:dyDescent="0.35">
      <c r="A13" s="10"/>
      <c r="B13" s="24" t="s">
        <v>37</v>
      </c>
      <c r="C13" s="25">
        <f>B5</f>
        <v>539622</v>
      </c>
      <c r="D13" s="16">
        <f>C13/B5</f>
        <v>1</v>
      </c>
      <c r="E13" s="21" t="s">
        <v>38</v>
      </c>
      <c r="F13" s="21" t="s">
        <v>38</v>
      </c>
      <c r="G13" s="21" t="s">
        <v>38</v>
      </c>
      <c r="H13" s="21" t="s">
        <v>38</v>
      </c>
    </row>
    <row r="14" spans="1:14" ht="19.5" customHeight="1" x14ac:dyDescent="0.35">
      <c r="A14" s="10"/>
      <c r="B14" s="26" t="s">
        <v>39</v>
      </c>
      <c r="C14" s="27">
        <f>ROUND(B5*D5,0)</f>
        <v>269811</v>
      </c>
      <c r="D14" s="28">
        <f>C14/B5</f>
        <v>0.5</v>
      </c>
      <c r="E14" s="28">
        <f>D5</f>
        <v>0.5</v>
      </c>
      <c r="F14" s="29" t="s">
        <v>38</v>
      </c>
      <c r="G14" s="29" t="s">
        <v>38</v>
      </c>
      <c r="H14" s="29" t="s">
        <v>38</v>
      </c>
    </row>
    <row r="15" spans="1:14" ht="19.5" customHeight="1" x14ac:dyDescent="0.35">
      <c r="A15" s="10"/>
      <c r="B15" s="30" t="s">
        <v>40</v>
      </c>
      <c r="C15" s="31">
        <f>ROUND(C14*F5,0)</f>
        <v>64755</v>
      </c>
      <c r="D15" s="28">
        <f>C15/B5</f>
        <v>0.12000066713366023</v>
      </c>
      <c r="E15" s="28">
        <f>F5</f>
        <v>0.24</v>
      </c>
      <c r="F15" s="27">
        <f>ROUND(C15*(1-I5),0)</f>
        <v>32378</v>
      </c>
      <c r="G15" s="32">
        <f>ROUND(C15*I5,0)</f>
        <v>32378</v>
      </c>
      <c r="H15" s="33">
        <f>I5</f>
        <v>0.5</v>
      </c>
    </row>
    <row r="16" spans="1:14" ht="19.5" customHeight="1" x14ac:dyDescent="0.35">
      <c r="A16" s="10"/>
      <c r="B16" s="30" t="s">
        <v>41</v>
      </c>
      <c r="C16" s="31">
        <f>ROUND(C14*G5,0)</f>
        <v>62057</v>
      </c>
      <c r="D16" s="28">
        <f>C16/B5</f>
        <v>0.11500087098005642</v>
      </c>
      <c r="E16" s="28">
        <f>G5</f>
        <v>0.23</v>
      </c>
      <c r="F16" s="27">
        <f>ROUND(C16*(1-I5),0)</f>
        <v>31029</v>
      </c>
      <c r="G16" s="32">
        <f>ROUND(C16*I5,0)</f>
        <v>31029</v>
      </c>
      <c r="H16" s="33">
        <f>I5</f>
        <v>0.5</v>
      </c>
    </row>
    <row r="17" spans="1:14" ht="19.5" customHeight="1" x14ac:dyDescent="0.35">
      <c r="A17" s="10"/>
      <c r="B17" s="30" t="s">
        <v>42</v>
      </c>
      <c r="C17" s="31">
        <f>ROUND(C14*H5,0)</f>
        <v>143000</v>
      </c>
      <c r="D17" s="28">
        <f>C17/B5</f>
        <v>0.26500031503533955</v>
      </c>
      <c r="E17" s="28">
        <f>H5</f>
        <v>0.53</v>
      </c>
      <c r="F17" s="27">
        <f>ROUND(C17*(1-I5),0)</f>
        <v>71500</v>
      </c>
      <c r="G17" s="32">
        <f>ROUND(C17*I5,0)</f>
        <v>71500</v>
      </c>
      <c r="H17" s="33">
        <f>I5</f>
        <v>0.5</v>
      </c>
    </row>
    <row r="18" spans="1:14" ht="19.5" customHeight="1" x14ac:dyDescent="0.35">
      <c r="A18" s="10"/>
      <c r="B18" s="34" t="s">
        <v>43</v>
      </c>
      <c r="C18" s="35">
        <f>ROUND(B5*E5,0)</f>
        <v>269811</v>
      </c>
      <c r="D18" s="36">
        <f>C18/B5</f>
        <v>0.5</v>
      </c>
      <c r="E18" s="36">
        <f>E5</f>
        <v>0.5</v>
      </c>
      <c r="F18" s="37" t="s">
        <v>38</v>
      </c>
      <c r="G18" s="37" t="s">
        <v>38</v>
      </c>
      <c r="H18" s="37" t="s">
        <v>38</v>
      </c>
    </row>
    <row r="19" spans="1:14" ht="19.5" customHeight="1" x14ac:dyDescent="0.35">
      <c r="A19" s="10"/>
      <c r="B19" s="38" t="s">
        <v>40</v>
      </c>
      <c r="C19" s="39">
        <f>ROUND(C18*F5,0)</f>
        <v>64755</v>
      </c>
      <c r="D19" s="36">
        <f>C19/B5</f>
        <v>0.12000066713366023</v>
      </c>
      <c r="E19" s="36">
        <f>F5</f>
        <v>0.24</v>
      </c>
      <c r="F19" s="35">
        <f>ROUND(C19*(1-I5),0)</f>
        <v>32378</v>
      </c>
      <c r="G19" s="32">
        <f>ROUND(C19*I5,0)</f>
        <v>32378</v>
      </c>
      <c r="H19" s="33">
        <f>I5</f>
        <v>0.5</v>
      </c>
    </row>
    <row r="20" spans="1:14" ht="19.5" customHeight="1" x14ac:dyDescent="0.35">
      <c r="A20" s="10"/>
      <c r="B20" s="38" t="s">
        <v>41</v>
      </c>
      <c r="C20" s="39">
        <f>ROUND(C18*G5,0)</f>
        <v>62057</v>
      </c>
      <c r="D20" s="36">
        <f>C20/B5</f>
        <v>0.11500087098005642</v>
      </c>
      <c r="E20" s="36">
        <f>G5</f>
        <v>0.23</v>
      </c>
      <c r="F20" s="35">
        <f>ROUND(C20*(1-I5),0)</f>
        <v>31029</v>
      </c>
      <c r="G20" s="32">
        <f>ROUND(C20*I5,0)</f>
        <v>31029</v>
      </c>
      <c r="H20" s="33">
        <f>I5</f>
        <v>0.5</v>
      </c>
    </row>
    <row r="21" spans="1:14" ht="19.5" customHeight="1" x14ac:dyDescent="0.35">
      <c r="A21" s="10"/>
      <c r="B21" s="38" t="s">
        <v>42</v>
      </c>
      <c r="C21" s="39">
        <f>ROUND(C18*H5,0)</f>
        <v>143000</v>
      </c>
      <c r="D21" s="36">
        <f>C21/B5</f>
        <v>0.26500031503533955</v>
      </c>
      <c r="E21" s="36">
        <f>H5</f>
        <v>0.53</v>
      </c>
      <c r="F21" s="35">
        <f>ROUND(C21*(1-I5),0)</f>
        <v>71500</v>
      </c>
      <c r="G21" s="32">
        <f>ROUND(C21*I5,0)</f>
        <v>71500</v>
      </c>
      <c r="H21" s="33">
        <f>I5</f>
        <v>0.5</v>
      </c>
    </row>
    <row r="22" spans="1:14" ht="19.5" customHeight="1" x14ac:dyDescent="0.35">
      <c r="A22" s="10"/>
      <c r="B22" s="40" t="s">
        <v>44</v>
      </c>
      <c r="C22" s="41">
        <f>SUM(F15:F17)+SUM(F19:F21)</f>
        <v>269814</v>
      </c>
      <c r="D22" s="42">
        <f>C22/B5</f>
        <v>0.50000555944716862</v>
      </c>
      <c r="E22" s="19"/>
      <c r="F22" s="41">
        <f>SUM(F15:F17)+SUM(F19:F21)</f>
        <v>269814</v>
      </c>
      <c r="G22" s="32">
        <f>SUM(G15:G17)+SUM(G19:G21)</f>
        <v>269814</v>
      </c>
      <c r="H22" s="33">
        <f>I5</f>
        <v>0.5</v>
      </c>
      <c r="I22" s="19"/>
      <c r="J22" s="19"/>
      <c r="K22" s="19"/>
      <c r="L22" s="19"/>
      <c r="M22" s="19"/>
      <c r="N22" s="19"/>
    </row>
    <row r="23" spans="1:14" ht="4.5" customHeight="1" x14ac:dyDescent="0.3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ht="18" customHeight="1" x14ac:dyDescent="0.35">
      <c r="A24" s="10"/>
      <c r="B24" s="7" t="s">
        <v>45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ht="27.75" customHeight="1" x14ac:dyDescent="0.35">
      <c r="A25" s="10"/>
      <c r="B25" s="22" t="s">
        <v>46</v>
      </c>
      <c r="C25" s="22" t="s">
        <v>47</v>
      </c>
      <c r="D25" s="22" t="s">
        <v>48</v>
      </c>
      <c r="E25" s="22" t="s">
        <v>49</v>
      </c>
      <c r="F25" s="22" t="s">
        <v>50</v>
      </c>
      <c r="G25" s="22" t="s">
        <v>51</v>
      </c>
      <c r="H25" s="22" t="s">
        <v>52</v>
      </c>
      <c r="I25" s="22" t="s">
        <v>53</v>
      </c>
      <c r="J25" s="22" t="s">
        <v>54</v>
      </c>
      <c r="K25" s="23"/>
    </row>
    <row r="26" spans="1:14" ht="19.5" customHeight="1" x14ac:dyDescent="0.35">
      <c r="A26" s="10"/>
      <c r="B26" s="2" t="s">
        <v>55</v>
      </c>
      <c r="C26" s="2"/>
      <c r="D26" s="2"/>
      <c r="E26" s="2"/>
      <c r="F26" s="2"/>
      <c r="G26" s="2"/>
      <c r="H26" s="2"/>
      <c r="I26" s="2"/>
      <c r="J26" s="2"/>
      <c r="K26" s="2"/>
    </row>
    <row r="27" spans="1:14" ht="19.5" customHeight="1" x14ac:dyDescent="0.35">
      <c r="A27" s="10"/>
      <c r="B27" s="30" t="s">
        <v>56</v>
      </c>
      <c r="C27" s="31">
        <f>SUM(F15:F17)</f>
        <v>134907</v>
      </c>
      <c r="D27" s="31">
        <f>SUM(F19:F21)</f>
        <v>134907</v>
      </c>
      <c r="E27" s="43">
        <f>C5</f>
        <v>5.0000000000000001E-4</v>
      </c>
      <c r="F27" s="43">
        <f>I9</f>
        <v>5.0000000000000001E-4</v>
      </c>
      <c r="G27" s="44">
        <f>(M5+N5)*SQRT(E27*(1-E27)*(1/C27+1/D27))</f>
        <v>2.4114485154422356E-4</v>
      </c>
      <c r="H27" s="31">
        <f>CEILING((M5+N5)^2*(E27*(1-E27)+(E27+F27)*(1-(E27+F27)))/F27^2,1)</f>
        <v>47055</v>
      </c>
      <c r="I27" s="45" t="str">
        <f>IF(G27&lt;=F27,"✅  YES","❌  NO")</f>
        <v>✅  YES</v>
      </c>
      <c r="J27" s="30" t="str">
        <f>IF(G27&lt;=F27,"Conclusive",IF(G27&lt;=F27*1.3,"Directional","⚠ Raise ctrl %"))</f>
        <v>Conclusive</v>
      </c>
      <c r="K27" s="29"/>
    </row>
    <row r="28" spans="1:14" ht="19.5" customHeight="1" x14ac:dyDescent="0.35">
      <c r="A28" s="10"/>
      <c r="B28" s="30" t="s">
        <v>57</v>
      </c>
      <c r="C28" s="31">
        <f>SUM(F15:F17)</f>
        <v>134907</v>
      </c>
      <c r="D28" s="31">
        <f>SUM(G15:G17)</f>
        <v>134907</v>
      </c>
      <c r="E28" s="43">
        <f>C5</f>
        <v>5.0000000000000001E-4</v>
      </c>
      <c r="F28" s="43">
        <f>I9</f>
        <v>5.0000000000000001E-4</v>
      </c>
      <c r="G28" s="44">
        <f>(M5+N5)*SQRT(E28*(1-E28)*(1/C28+1/D28))</f>
        <v>2.4114485154422356E-4</v>
      </c>
      <c r="H28" s="31">
        <f>CEILING((M5+N5)^2*(E28*(1-E28)+(E28+F28)*(1-(E28+F28)))/F28^2,1)</f>
        <v>47055</v>
      </c>
      <c r="I28" s="45" t="str">
        <f>IF(G28&lt;=F28,"✅  YES","❌  NO")</f>
        <v>✅  YES</v>
      </c>
      <c r="J28" s="30" t="str">
        <f>IF(G28&lt;=F28,"Conclusive",IF(G28&lt;=F28*1.3,"Directional","⚠ Raise ctrl %"))</f>
        <v>Conclusive</v>
      </c>
      <c r="K28" s="29"/>
    </row>
    <row r="29" spans="1:14" ht="19.5" customHeight="1" x14ac:dyDescent="0.35">
      <c r="A29" s="10"/>
      <c r="B29" s="38" t="s">
        <v>58</v>
      </c>
      <c r="C29" s="39">
        <f>SUM(F19:F21)</f>
        <v>134907</v>
      </c>
      <c r="D29" s="39">
        <f>SUM(G19:G21)</f>
        <v>134907</v>
      </c>
      <c r="E29" s="46">
        <f>C5</f>
        <v>5.0000000000000001E-4</v>
      </c>
      <c r="F29" s="46">
        <f>J9</f>
        <v>4.0000000000000002E-4</v>
      </c>
      <c r="G29" s="47">
        <f>(M5+N5)*SQRT(E29*(1-E29)*(1/C29+1/D29))</f>
        <v>2.4114485154422356E-4</v>
      </c>
      <c r="H29" s="39">
        <f>CEILING((M5+N5)^2*(E29*(1-E29)+(E29+F29)*(1-(E29+F29)))/F29^2,1)</f>
        <v>68626</v>
      </c>
      <c r="I29" s="48" t="str">
        <f>IF(G29&lt;=F29,"✅  YES","❌  NO")</f>
        <v>✅  YES</v>
      </c>
      <c r="J29" s="38" t="str">
        <f>IF(G29&lt;=F29,"Conclusive",IF(G29&lt;=F29*1.3,"Directional","⚠ Raise ctrl %"))</f>
        <v>Conclusive</v>
      </c>
      <c r="K29" s="37"/>
    </row>
    <row r="30" spans="1:14" ht="19.5" customHeight="1" x14ac:dyDescent="0.35">
      <c r="A30" s="10"/>
      <c r="B30" s="2" t="s">
        <v>59</v>
      </c>
      <c r="C30" s="2"/>
      <c r="D30" s="2"/>
      <c r="E30" s="2"/>
      <c r="F30" s="2"/>
      <c r="G30" s="2"/>
      <c r="H30" s="2"/>
      <c r="I30" s="2"/>
      <c r="J30" s="2"/>
      <c r="K30" s="2"/>
    </row>
    <row r="31" spans="1:14" ht="19.5" customHeight="1" x14ac:dyDescent="0.35">
      <c r="A31" s="10"/>
      <c r="B31" s="30" t="s">
        <v>60</v>
      </c>
      <c r="C31" s="31">
        <f t="shared" ref="C31:D33" si="0">F15</f>
        <v>32378</v>
      </c>
      <c r="D31" s="31">
        <f t="shared" si="0"/>
        <v>32378</v>
      </c>
      <c r="E31" s="43">
        <f>C5</f>
        <v>5.0000000000000001E-4</v>
      </c>
      <c r="F31" s="43">
        <f>C9</f>
        <v>8.0000000000000004E-4</v>
      </c>
      <c r="G31" s="44">
        <f>(M5+N5)*SQRT(E31*(1-E31)*(1/C31+1/D31))</f>
        <v>4.9223243453832232E-4</v>
      </c>
      <c r="H31" s="31">
        <f>CEILING((M5+N5)^2*(E31*(1-E31)+(E31+F31)*(1-(E31+F31)))/F31^2,1)</f>
        <v>22052</v>
      </c>
      <c r="I31" s="45" t="str">
        <f>IF(G31&lt;=F31,"✅  YES","❌  NO")</f>
        <v>✅  YES</v>
      </c>
      <c r="J31" s="30" t="str">
        <f>IF(G31&lt;=F31,"Conclusive",IF(G31&lt;=F31*1.3,"Directional","⚠ Raise ctrl %"))</f>
        <v>Conclusive</v>
      </c>
      <c r="K31" s="29"/>
    </row>
    <row r="32" spans="1:14" ht="19.5" customHeight="1" x14ac:dyDescent="0.35">
      <c r="A32" s="10"/>
      <c r="B32" s="30" t="s">
        <v>61</v>
      </c>
      <c r="C32" s="31">
        <f t="shared" si="0"/>
        <v>31029</v>
      </c>
      <c r="D32" s="31">
        <f t="shared" si="0"/>
        <v>31029</v>
      </c>
      <c r="E32" s="43">
        <f>C5</f>
        <v>5.0000000000000001E-4</v>
      </c>
      <c r="F32" s="43">
        <f>D9</f>
        <v>6.9999999999999999E-4</v>
      </c>
      <c r="G32" s="44">
        <f>(M5+N5)*SQRT(E32*(1-E32)*(1/C32+1/D32))</f>
        <v>5.0281861426123783E-4</v>
      </c>
      <c r="H32" s="31">
        <f>CEILING((M5+N5)^2*(E32*(1-E32)+(E32+F32)*(1-(E32+F32)))/F32^2,1)</f>
        <v>27204</v>
      </c>
      <c r="I32" s="45" t="str">
        <f>IF(G32&lt;=F32,"✅  YES","❌  NO")</f>
        <v>✅  YES</v>
      </c>
      <c r="J32" s="30" t="str">
        <f>IF(G32&lt;=F32,"Conclusive",IF(G32&lt;=F32*1.3,"Directional","⚠ Raise ctrl %"))</f>
        <v>Conclusive</v>
      </c>
      <c r="K32" s="29"/>
    </row>
    <row r="33" spans="1:14" ht="19.5" customHeight="1" x14ac:dyDescent="0.35">
      <c r="A33" s="10"/>
      <c r="B33" s="30" t="s">
        <v>62</v>
      </c>
      <c r="C33" s="31">
        <f t="shared" si="0"/>
        <v>71500</v>
      </c>
      <c r="D33" s="31">
        <f t="shared" si="0"/>
        <v>71500</v>
      </c>
      <c r="E33" s="43">
        <f>C5</f>
        <v>5.0000000000000001E-4</v>
      </c>
      <c r="F33" s="43">
        <f>E9</f>
        <v>5.0000000000000001E-4</v>
      </c>
      <c r="G33" s="44">
        <f>(M5+N5)*SQRT(E33*(1-E33)*(1/C33+1/D33))</f>
        <v>3.3123957261818604E-4</v>
      </c>
      <c r="H33" s="31">
        <f>CEILING((M5+N5)^2*(E33*(1-E33)+(E33+F33)*(1-(E33+F33)))/F33^2,1)</f>
        <v>47055</v>
      </c>
      <c r="I33" s="45" t="str">
        <f>IF(G33&lt;=F33,"✅  YES","❌  NO")</f>
        <v>✅  YES</v>
      </c>
      <c r="J33" s="30" t="str">
        <f>IF(G33&lt;=F33,"Conclusive",IF(G33&lt;=F33*1.3,"Directional","⚠ Raise ctrl %"))</f>
        <v>Conclusive</v>
      </c>
      <c r="K33" s="29"/>
    </row>
    <row r="34" spans="1:14" ht="19.5" customHeight="1" x14ac:dyDescent="0.35">
      <c r="A34" s="10"/>
      <c r="B34" s="2" t="s">
        <v>63</v>
      </c>
      <c r="C34" s="2"/>
      <c r="D34" s="2"/>
      <c r="E34" s="2"/>
      <c r="F34" s="2"/>
      <c r="G34" s="2"/>
      <c r="H34" s="2"/>
      <c r="I34" s="2"/>
      <c r="J34" s="2"/>
      <c r="K34" s="2"/>
    </row>
    <row r="35" spans="1:14" ht="19.5" customHeight="1" x14ac:dyDescent="0.35">
      <c r="A35" s="10"/>
      <c r="B35" s="38" t="s">
        <v>64</v>
      </c>
      <c r="C35" s="39">
        <f t="shared" ref="C35:D37" si="1">F19</f>
        <v>32378</v>
      </c>
      <c r="D35" s="39">
        <f t="shared" si="1"/>
        <v>32378</v>
      </c>
      <c r="E35" s="46">
        <f>C5</f>
        <v>5.0000000000000001E-4</v>
      </c>
      <c r="F35" s="46">
        <f>F9</f>
        <v>5.9999999999999995E-4</v>
      </c>
      <c r="G35" s="47">
        <f>(M5+N5)*SQRT(E35*(1-E35)*(1/C35+1/D35))</f>
        <v>4.9223243453832232E-4</v>
      </c>
      <c r="H35" s="39">
        <f>CEILING((M5+N5)^2*(E35*(1-E35)+(E35+F35)*(1-(E35+F35)))/F35^2,1)</f>
        <v>34853</v>
      </c>
      <c r="I35" s="48" t="str">
        <f>IF(G35&lt;=F35,"✅  YES","❌  NO")</f>
        <v>✅  YES</v>
      </c>
      <c r="J35" s="38" t="str">
        <f>IF(G35&lt;=F35,"Conclusive",IF(G35&lt;=F35*1.3,"Directional","⚠ Raise ctrl %"))</f>
        <v>Conclusive</v>
      </c>
      <c r="K35" s="37"/>
    </row>
    <row r="36" spans="1:14" ht="19.5" customHeight="1" x14ac:dyDescent="0.35">
      <c r="A36" s="10"/>
      <c r="B36" s="38" t="s">
        <v>65</v>
      </c>
      <c r="C36" s="39">
        <f t="shared" si="1"/>
        <v>31029</v>
      </c>
      <c r="D36" s="39">
        <f t="shared" si="1"/>
        <v>31029</v>
      </c>
      <c r="E36" s="46">
        <f>C5</f>
        <v>5.0000000000000001E-4</v>
      </c>
      <c r="F36" s="46">
        <f>G9</f>
        <v>5.0000000000000001E-4</v>
      </c>
      <c r="G36" s="47">
        <f>(M5+N5)*SQRT(E36*(1-E36)*(1/C36+1/D36))</f>
        <v>5.0281861426123783E-4</v>
      </c>
      <c r="H36" s="39">
        <f>CEILING((M5+N5)^2*(E36*(1-E36)+(E36+F36)*(1-(E36+F36)))/F36^2,1)</f>
        <v>47055</v>
      </c>
      <c r="I36" s="48" t="str">
        <f>IF(G36&lt;=F36,"✅  YES","❌  NO")</f>
        <v>❌  NO</v>
      </c>
      <c r="J36" s="38" t="str">
        <f>IF(G36&lt;=F36,"Conclusive",IF(G36&lt;=F36*1.3,"Directional","⚠ Raise ctrl %"))</f>
        <v>Directional</v>
      </c>
      <c r="K36" s="37"/>
    </row>
    <row r="37" spans="1:14" ht="19.5" customHeight="1" x14ac:dyDescent="0.35">
      <c r="A37" s="10"/>
      <c r="B37" s="38" t="s">
        <v>66</v>
      </c>
      <c r="C37" s="39">
        <f t="shared" si="1"/>
        <v>71500</v>
      </c>
      <c r="D37" s="39">
        <f t="shared" si="1"/>
        <v>71500</v>
      </c>
      <c r="E37" s="46">
        <f>C5</f>
        <v>5.0000000000000001E-4</v>
      </c>
      <c r="F37" s="46">
        <f>H9</f>
        <v>4.0000000000000002E-4</v>
      </c>
      <c r="G37" s="47">
        <f>(M5+N5)*SQRT(E37*(1-E37)*(1/C37+1/D37))</f>
        <v>3.3123957261818604E-4</v>
      </c>
      <c r="H37" s="39">
        <f>CEILING((M5+N5)^2*(E37*(1-E37)+(E37+F37)*(1-(E37+F37)))/F37^2,1)</f>
        <v>68626</v>
      </c>
      <c r="I37" s="48" t="str">
        <f>IF(G37&lt;=F37,"✅  YES","❌  NO")</f>
        <v>✅  YES</v>
      </c>
      <c r="J37" s="38" t="str">
        <f>IF(G37&lt;=F37,"Conclusive",IF(G37&lt;=F37*1.3,"Directional","⚠ Raise ctrl %"))</f>
        <v>Conclusive</v>
      </c>
      <c r="K37" s="37"/>
    </row>
    <row r="38" spans="1:14" ht="19.5" customHeight="1" x14ac:dyDescent="0.35">
      <c r="A38" s="10"/>
      <c r="B38" s="2" t="s">
        <v>67</v>
      </c>
      <c r="C38" s="2"/>
      <c r="D38" s="2"/>
      <c r="E38" s="2"/>
      <c r="F38" s="2"/>
      <c r="G38" s="2"/>
      <c r="H38" s="2"/>
      <c r="I38" s="2"/>
      <c r="J38" s="2"/>
      <c r="K38" s="2"/>
    </row>
    <row r="39" spans="1:14" ht="19.5" customHeight="1" x14ac:dyDescent="0.35">
      <c r="A39" s="10"/>
      <c r="B39" s="30" t="s">
        <v>68</v>
      </c>
      <c r="C39" s="31">
        <f>F15</f>
        <v>32378</v>
      </c>
      <c r="D39" s="31">
        <f>F19</f>
        <v>32378</v>
      </c>
      <c r="E39" s="43">
        <f>C5</f>
        <v>5.0000000000000001E-4</v>
      </c>
      <c r="F39" s="43">
        <f>C9</f>
        <v>8.0000000000000004E-4</v>
      </c>
      <c r="G39" s="44">
        <f>(M5+N5)*SQRT(E39*(1-E39)*(1/C39+1/D39))</f>
        <v>4.9223243453832232E-4</v>
      </c>
      <c r="H39" s="31">
        <f>CEILING((M5+N5)^2*(E39*(1-E39)+(E39+F39)*(1-(E39+F39)))/F39^2,1)</f>
        <v>22052</v>
      </c>
      <c r="I39" s="45" t="str">
        <f>IF(G39&lt;=F39,"✅  YES","❌  NO")</f>
        <v>✅  YES</v>
      </c>
      <c r="J39" s="30" t="str">
        <f>IF(G39&lt;=F39,"Conclusive",IF(G39&lt;=F39*1.3,"Directional","⚠ Raise ctrl %"))</f>
        <v>Conclusive</v>
      </c>
      <c r="K39" s="29"/>
    </row>
    <row r="40" spans="1:14" ht="19.5" customHeight="1" x14ac:dyDescent="0.35">
      <c r="A40" s="10"/>
      <c r="B40" s="30" t="s">
        <v>69</v>
      </c>
      <c r="C40" s="31">
        <f>F16</f>
        <v>31029</v>
      </c>
      <c r="D40" s="31">
        <f>F20</f>
        <v>31029</v>
      </c>
      <c r="E40" s="43">
        <f>C5</f>
        <v>5.0000000000000001E-4</v>
      </c>
      <c r="F40" s="43">
        <f>D9</f>
        <v>6.9999999999999999E-4</v>
      </c>
      <c r="G40" s="44">
        <f>(M5+N5)*SQRT(E40*(1-E40)*(1/C40+1/D40))</f>
        <v>5.0281861426123783E-4</v>
      </c>
      <c r="H40" s="31">
        <f>CEILING((M5+N5)^2*(E40*(1-E40)+(E40+F40)*(1-(E40+F40)))/F40^2,1)</f>
        <v>27204</v>
      </c>
      <c r="I40" s="45" t="str">
        <f>IF(G40&lt;=F40,"✅  YES","❌  NO")</f>
        <v>✅  YES</v>
      </c>
      <c r="J40" s="30" t="str">
        <f>IF(G40&lt;=F40,"Conclusive",IF(G40&lt;=F40*1.3,"Directional","⚠ Raise ctrl %"))</f>
        <v>Conclusive</v>
      </c>
      <c r="K40" s="29"/>
    </row>
    <row r="41" spans="1:14" ht="19.5" customHeight="1" x14ac:dyDescent="0.35">
      <c r="A41" s="10"/>
      <c r="B41" s="30" t="s">
        <v>70</v>
      </c>
      <c r="C41" s="31">
        <f>F17</f>
        <v>71500</v>
      </c>
      <c r="D41" s="31">
        <f>F21</f>
        <v>71500</v>
      </c>
      <c r="E41" s="43">
        <f>C5</f>
        <v>5.0000000000000001E-4</v>
      </c>
      <c r="F41" s="43">
        <f>E9</f>
        <v>5.0000000000000001E-4</v>
      </c>
      <c r="G41" s="44">
        <f>(M5+N5)*SQRT(E41*(1-E41)*(1/C41+1/D41))</f>
        <v>3.3123957261818604E-4</v>
      </c>
      <c r="H41" s="31">
        <f>CEILING((M5+N5)^2*(E41*(1-E41)+(E41+F41)*(1-(E41+F41)))/F41^2,1)</f>
        <v>47055</v>
      </c>
      <c r="I41" s="45" t="str">
        <f>IF(G41&lt;=F41,"✅  YES","❌  NO")</f>
        <v>✅  YES</v>
      </c>
      <c r="J41" s="30" t="str">
        <f>IF(G41&lt;=F41,"Conclusive",IF(G41&lt;=F41*1.3,"Directional","⚠ Raise ctrl %"))</f>
        <v>Conclusive</v>
      </c>
      <c r="K41" s="29"/>
    </row>
    <row r="42" spans="1:14" ht="19.5" customHeight="1" x14ac:dyDescent="0.35">
      <c r="A42" s="10"/>
      <c r="B42" s="2" t="s">
        <v>71</v>
      </c>
      <c r="C42" s="2"/>
      <c r="D42" s="2"/>
      <c r="E42" s="2"/>
      <c r="F42" s="2"/>
      <c r="G42" s="2"/>
      <c r="H42" s="2"/>
      <c r="I42" s="2"/>
      <c r="J42" s="2"/>
      <c r="K42" s="2"/>
    </row>
    <row r="43" spans="1:14" ht="19.5" customHeight="1" x14ac:dyDescent="0.35">
      <c r="A43" s="10"/>
      <c r="B43" s="49" t="s">
        <v>72</v>
      </c>
      <c r="C43" s="50">
        <f>F15</f>
        <v>32378</v>
      </c>
      <c r="D43" s="50">
        <f>F17</f>
        <v>71500</v>
      </c>
      <c r="E43" s="51">
        <f>C5</f>
        <v>5.0000000000000001E-4</v>
      </c>
      <c r="F43" s="51">
        <f>C9</f>
        <v>8.0000000000000004E-4</v>
      </c>
      <c r="G43" s="52">
        <f>(M5+N5)*SQRT(E43*(1-E43)*(1/C43+1/D43))</f>
        <v>4.1953094288729308E-4</v>
      </c>
      <c r="H43" s="50">
        <f>CEILING((M5+N5)^2*(E43*(1-E43)+(E43+F43)*(1-(E43+F43)))/F43^2,1)</f>
        <v>22052</v>
      </c>
      <c r="I43" s="53" t="str">
        <f>IF(G43&lt;=F43,"✅  YES","❌  NO")</f>
        <v>✅  YES</v>
      </c>
      <c r="J43" s="49" t="str">
        <f>IF(G43&lt;=F43,"Conclusive",IF(G43&lt;=F43*1.3,"Directional","⚠ Raise ctrl %"))</f>
        <v>Conclusive</v>
      </c>
      <c r="K43" s="54"/>
    </row>
    <row r="44" spans="1:14" ht="19.5" customHeight="1" x14ac:dyDescent="0.35">
      <c r="A44" s="10"/>
      <c r="B44" s="49" t="s">
        <v>73</v>
      </c>
      <c r="C44" s="50">
        <f>F16</f>
        <v>31029</v>
      </c>
      <c r="D44" s="50">
        <f>F17</f>
        <v>71500</v>
      </c>
      <c r="E44" s="51">
        <f>C5</f>
        <v>5.0000000000000001E-4</v>
      </c>
      <c r="F44" s="51">
        <f>D9</f>
        <v>6.9999999999999999E-4</v>
      </c>
      <c r="G44" s="52">
        <f>(M5+N5)*SQRT(E44*(1-E44)*(1/C44+1/D44))</f>
        <v>4.2576179567680215E-4</v>
      </c>
      <c r="H44" s="50">
        <f>CEILING((M5+N5)^2*(E44*(1-E44)+(E44+F44)*(1-(E44+F44)))/F44^2,1)</f>
        <v>27204</v>
      </c>
      <c r="I44" s="53" t="str">
        <f>IF(G44&lt;=F44,"✅  YES","❌  NO")</f>
        <v>✅  YES</v>
      </c>
      <c r="J44" s="49" t="str">
        <f>IF(G44&lt;=F44,"Conclusive",IF(G44&lt;=F44*1.3,"Directional","⚠ Raise ctrl %"))</f>
        <v>Conclusive</v>
      </c>
      <c r="K44" s="54"/>
    </row>
    <row r="45" spans="1:14" ht="19.5" customHeight="1" x14ac:dyDescent="0.35">
      <c r="A45" s="10"/>
      <c r="B45" s="49" t="s">
        <v>74</v>
      </c>
      <c r="C45" s="50">
        <f>F19</f>
        <v>32378</v>
      </c>
      <c r="D45" s="50">
        <f>F21</f>
        <v>71500</v>
      </c>
      <c r="E45" s="51">
        <f>C5</f>
        <v>5.0000000000000001E-4</v>
      </c>
      <c r="F45" s="51">
        <f>F9</f>
        <v>5.9999999999999995E-4</v>
      </c>
      <c r="G45" s="52">
        <f>(M5+N5)*SQRT(E45*(1-E45)*(1/C45+1/D45))</f>
        <v>4.1953094288729308E-4</v>
      </c>
      <c r="H45" s="50">
        <f>CEILING((M5+N5)^2*(E45*(1-E45)+(E45+F45)*(1-(E45+F45)))/F45^2,1)</f>
        <v>34853</v>
      </c>
      <c r="I45" s="53" t="str">
        <f>IF(G45&lt;=F45,"✅  YES","❌  NO")</f>
        <v>✅  YES</v>
      </c>
      <c r="J45" s="49" t="str">
        <f>IF(G45&lt;=F45,"Conclusive",IF(G45&lt;=F45*1.3,"Directional","⚠ Raise ctrl %"))</f>
        <v>Conclusive</v>
      </c>
      <c r="K45" s="54"/>
    </row>
    <row r="46" spans="1:14" ht="19.5" customHeight="1" x14ac:dyDescent="0.35">
      <c r="A46" s="10"/>
      <c r="B46" s="49" t="s">
        <v>75</v>
      </c>
      <c r="C46" s="50">
        <f>F20</f>
        <v>31029</v>
      </c>
      <c r="D46" s="50">
        <f>F21</f>
        <v>71500</v>
      </c>
      <c r="E46" s="51">
        <f>C5</f>
        <v>5.0000000000000001E-4</v>
      </c>
      <c r="F46" s="51">
        <f>G9</f>
        <v>5.0000000000000001E-4</v>
      </c>
      <c r="G46" s="52">
        <f>(M5+N5)*SQRT(E46*(1-E46)*(1/C46+1/D46))</f>
        <v>4.2576179567680215E-4</v>
      </c>
      <c r="H46" s="50">
        <f>CEILING((M5+N5)^2*(E46*(1-E46)+(E46+F46)*(1-(E46+F46)))/F46^2,1)</f>
        <v>47055</v>
      </c>
      <c r="I46" s="53" t="str">
        <f>IF(G46&lt;=F46,"✅  YES","❌  NO")</f>
        <v>✅  YES</v>
      </c>
      <c r="J46" s="49" t="str">
        <f>IF(G46&lt;=F46,"Conclusive",IF(G46&lt;=F46*1.3,"Directional","⚠ Raise ctrl %"))</f>
        <v>Conclusive</v>
      </c>
      <c r="K46" s="54"/>
    </row>
    <row r="47" spans="1:14" ht="4.5" customHeight="1" x14ac:dyDescent="0.3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8" customHeight="1" x14ac:dyDescent="0.35">
      <c r="A48" s="10"/>
      <c r="B48" s="2" t="s">
        <v>76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0"/>
    </row>
    <row r="49" spans="1:14" ht="31.5" customHeight="1" x14ac:dyDescent="0.35">
      <c r="A49" s="10"/>
      <c r="B49" s="55" t="s">
        <v>77</v>
      </c>
      <c r="C49" s="55" t="s">
        <v>50</v>
      </c>
      <c r="D49" s="55" t="s">
        <v>78</v>
      </c>
      <c r="E49" s="55" t="s">
        <v>79</v>
      </c>
      <c r="F49" s="55" t="s">
        <v>80</v>
      </c>
      <c r="G49" s="55" t="s">
        <v>81</v>
      </c>
      <c r="H49" s="55" t="s">
        <v>82</v>
      </c>
      <c r="I49" s="55" t="s">
        <v>83</v>
      </c>
      <c r="J49" s="55" t="s">
        <v>84</v>
      </c>
      <c r="K49" s="23"/>
      <c r="L49" s="23"/>
      <c r="M49" s="23"/>
      <c r="N49" s="23"/>
    </row>
    <row r="50" spans="1:14" ht="21.75" customHeight="1" x14ac:dyDescent="0.35">
      <c r="A50" s="10"/>
      <c r="B50" s="30" t="s">
        <v>85</v>
      </c>
      <c r="C50" s="43">
        <f>C9</f>
        <v>8.0000000000000004E-4</v>
      </c>
      <c r="D50" s="31">
        <f>C15</f>
        <v>64755</v>
      </c>
      <c r="E50" s="27">
        <f>CEILING((M5+N5)^2*(C5*(1-C5)+(C5+C9)*(1-(C5+C9)))/C9^2,1)</f>
        <v>22052</v>
      </c>
      <c r="F50" s="31">
        <f t="shared" ref="F50:F55" si="2">E50*2</f>
        <v>44104</v>
      </c>
      <c r="G50" s="45" t="str">
        <f>IF(C15&gt;=F50,"✅  Yes","❌  Need "&amp;TEXT(F50-C15,"+#,##0")&amp;" more")</f>
        <v>✅  Yes</v>
      </c>
      <c r="H50" s="44">
        <f>(M5+N5)*SQRT(C5*(1-C5)*(1/(C15*(1-I5))+1/(C15*I5)))</f>
        <v>4.9223623525281675E-4</v>
      </c>
      <c r="I50" s="43">
        <f>(M5+N5)*SQRT(C5*(1-C5)*(2/C15))</f>
        <v>3.4806357989300343E-4</v>
      </c>
      <c r="J50" s="56" t="str">
        <f t="shared" ref="J50:J55" si="3">IF(H50&lt;=C50,"✅  Conclusive — MDE "&amp;TEXT(H50,"0.00%")&amp;" ≤ lift "&amp;TEXT(C50,"0.00%"),"⚠  Directional — MDE "&amp;TEXT(H50,"0.00%")&amp;" &gt; lift "&amp;TEXT(C50,"0.00%"))</f>
        <v>✅  Conclusive — MDE 0.05% ≤ lift 0.08%</v>
      </c>
      <c r="K50" s="29"/>
      <c r="L50" s="29"/>
      <c r="M50" s="29"/>
      <c r="N50" s="29"/>
    </row>
    <row r="51" spans="1:14" ht="21.75" customHeight="1" x14ac:dyDescent="0.35">
      <c r="A51" s="10"/>
      <c r="B51" s="30" t="s">
        <v>86</v>
      </c>
      <c r="C51" s="43">
        <f>D9</f>
        <v>6.9999999999999999E-4</v>
      </c>
      <c r="D51" s="31">
        <f>C16</f>
        <v>62057</v>
      </c>
      <c r="E51" s="27">
        <f>CEILING((M5+N5)^2*(C5*(1-C5)+(C5+D9)*(1-(C5+D9)))/D9^2,1)</f>
        <v>27204</v>
      </c>
      <c r="F51" s="31">
        <f t="shared" si="2"/>
        <v>54408</v>
      </c>
      <c r="G51" s="45" t="str">
        <f>IF(C16&gt;=F51,"✅  Yes","❌  Need "&amp;TEXT(F51-C16,"+#,##0")&amp;" more")</f>
        <v>✅  Yes</v>
      </c>
      <c r="H51" s="44">
        <f>(M5+N5)*SQRT(C5*(1-C5)*(1/(C16*(1-I5))+1/(C16*I5)))</f>
        <v>5.0282266550919245E-4</v>
      </c>
      <c r="I51" s="43">
        <f>(M5+N5)*SQRT(C5*(1-C5)*(2/C16))</f>
        <v>3.5554931651584509E-4</v>
      </c>
      <c r="J51" s="56" t="str">
        <f t="shared" si="3"/>
        <v>✅  Conclusive — MDE 0.05% ≤ lift 0.07%</v>
      </c>
      <c r="K51" s="29"/>
      <c r="L51" s="29"/>
      <c r="M51" s="29"/>
      <c r="N51" s="29"/>
    </row>
    <row r="52" spans="1:14" ht="21.75" customHeight="1" x14ac:dyDescent="0.35">
      <c r="A52" s="10"/>
      <c r="B52" s="30" t="s">
        <v>87</v>
      </c>
      <c r="C52" s="43">
        <f>E9</f>
        <v>5.0000000000000001E-4</v>
      </c>
      <c r="D52" s="31">
        <f>C17</f>
        <v>143000</v>
      </c>
      <c r="E52" s="27">
        <f>CEILING((M5+N5)^2*(C5*(1-C5)+(C5+E9)*(1-(C5+E9)))/E9^2,1)</f>
        <v>47055</v>
      </c>
      <c r="F52" s="31">
        <f t="shared" si="2"/>
        <v>94110</v>
      </c>
      <c r="G52" s="45" t="str">
        <f>IF(C17&gt;=F52,"✅  Yes","❌  Need "&amp;TEXT(F52-C17,"+#,##0")&amp;" more")</f>
        <v>✅  Yes</v>
      </c>
      <c r="H52" s="44">
        <f>(M5+N5)*SQRT(C5*(1-C5)*(1/(C17*(1-I5))+1/(C17*I5)))</f>
        <v>3.3123957261818604E-4</v>
      </c>
      <c r="I52" s="43">
        <f>(M5+N5)*SQRT(C5*(1-C5)*(2/C17))</f>
        <v>2.3422174799565319E-4</v>
      </c>
      <c r="J52" s="56" t="str">
        <f t="shared" si="3"/>
        <v>✅  Conclusive — MDE 0.03% ≤ lift 0.05%</v>
      </c>
      <c r="K52" s="29"/>
      <c r="L52" s="29"/>
      <c r="M52" s="29"/>
      <c r="N52" s="29"/>
    </row>
    <row r="53" spans="1:14" ht="21.75" customHeight="1" x14ac:dyDescent="0.35">
      <c r="A53" s="10"/>
      <c r="B53" s="38" t="s">
        <v>88</v>
      </c>
      <c r="C53" s="46">
        <f>F9</f>
        <v>5.9999999999999995E-4</v>
      </c>
      <c r="D53" s="39">
        <f>C19</f>
        <v>64755</v>
      </c>
      <c r="E53" s="35">
        <f>CEILING((M5+N5)^2*(C5*(1-C5)+(C5+F9)*(1-(C5+F9)))/F9^2,1)</f>
        <v>34853</v>
      </c>
      <c r="F53" s="39">
        <f t="shared" si="2"/>
        <v>69706</v>
      </c>
      <c r="G53" s="48" t="str">
        <f>IF(C19&gt;=F53,"✅  Yes","❌  Need "&amp;TEXT(F53-C19,"+#,##0")&amp;" more")</f>
        <v>❌  Need +4,951 more</v>
      </c>
      <c r="H53" s="47">
        <f>(M5+N5)*SQRT(C5*(1-C5)*(1/(C19*(1-I5))+1/(C19*I5)))</f>
        <v>4.9223623525281675E-4</v>
      </c>
      <c r="I53" s="46">
        <f>(M5+N5)*SQRT(C5*(1-C5)*(2/C19))</f>
        <v>3.4806357989300343E-4</v>
      </c>
      <c r="J53" s="57" t="str">
        <f t="shared" si="3"/>
        <v>✅  Conclusive — MDE 0.05% ≤ lift 0.06%</v>
      </c>
      <c r="K53" s="37"/>
      <c r="L53" s="37"/>
      <c r="M53" s="37"/>
      <c r="N53" s="37"/>
    </row>
    <row r="54" spans="1:14" ht="21.75" customHeight="1" x14ac:dyDescent="0.35">
      <c r="A54" s="10"/>
      <c r="B54" s="38" t="s">
        <v>89</v>
      </c>
      <c r="C54" s="46">
        <f>G9</f>
        <v>5.0000000000000001E-4</v>
      </c>
      <c r="D54" s="39">
        <f>C20</f>
        <v>62057</v>
      </c>
      <c r="E54" s="35">
        <f>CEILING((M5+N5)^2*(C5*(1-C5)+(C5+G9)*(1-(C5+G9)))/G9^2,1)</f>
        <v>47055</v>
      </c>
      <c r="F54" s="39">
        <f t="shared" si="2"/>
        <v>94110</v>
      </c>
      <c r="G54" s="48" t="str">
        <f>IF(C20&gt;=F54,"✅  Yes","❌  Need "&amp;TEXT(F54-C20,"+#,##0")&amp;" more")</f>
        <v>❌  Need +32,053 more</v>
      </c>
      <c r="H54" s="47">
        <f>(M5+N5)*SQRT(C5*(1-C5)*(1/(C20*(1-I5))+1/(C20*I5)))</f>
        <v>5.0282266550919245E-4</v>
      </c>
      <c r="I54" s="46">
        <f>(M5+N5)*SQRT(C5*(1-C5)*(2/C20))</f>
        <v>3.5554931651584509E-4</v>
      </c>
      <c r="J54" s="57" t="str">
        <f t="shared" si="3"/>
        <v>⚠  Directional — MDE 0.05% &gt; lift 0.05%</v>
      </c>
      <c r="K54" s="37"/>
      <c r="L54" s="37"/>
      <c r="M54" s="37"/>
      <c r="N54" s="37"/>
    </row>
    <row r="55" spans="1:14" ht="21.75" customHeight="1" x14ac:dyDescent="0.35">
      <c r="A55" s="10"/>
      <c r="B55" s="38" t="s">
        <v>90</v>
      </c>
      <c r="C55" s="46">
        <f>H9</f>
        <v>4.0000000000000002E-4</v>
      </c>
      <c r="D55" s="39">
        <f>C21</f>
        <v>143000</v>
      </c>
      <c r="E55" s="35">
        <f>CEILING((M5+N5)^2*(C5*(1-C5)+(C5+H9)*(1-(C5+H9)))/H9^2,1)</f>
        <v>68626</v>
      </c>
      <c r="F55" s="39">
        <f t="shared" si="2"/>
        <v>137252</v>
      </c>
      <c r="G55" s="48" t="str">
        <f>IF(C21&gt;=F55,"✅  Yes","❌  Need "&amp;TEXT(F55-C21,"+#,##0")&amp;" more")</f>
        <v>✅  Yes</v>
      </c>
      <c r="H55" s="47">
        <f>(M5+N5)*SQRT(C5*(1-C5)*(1/(C21*(1-I5))+1/(C21*I5)))</f>
        <v>3.3123957261818604E-4</v>
      </c>
      <c r="I55" s="46">
        <f>(M5+N5)*SQRT(C5*(1-C5)*(2/C21))</f>
        <v>2.3422174799565319E-4</v>
      </c>
      <c r="J55" s="57" t="str">
        <f t="shared" si="3"/>
        <v>✅  Conclusive — MDE 0.03% ≤ lift 0.04%</v>
      </c>
      <c r="K55" s="37"/>
      <c r="L55" s="37"/>
      <c r="M55" s="37"/>
      <c r="N55" s="37"/>
    </row>
    <row r="56" spans="1:14" ht="24" customHeight="1" x14ac:dyDescent="0.35">
      <c r="A56" s="10"/>
      <c r="B56" s="1" t="str">
        <f>IF(COUNTIF(J50:J55,"✅*")=6,"✅  All 6 cells conclusive at current settings.","⚠  "&amp;COUNTIF(J50:J55,"⚠*")&amp;" cell(s) directional only. Try: lower Power (K5) or increase lift assumptions (row 9).")</f>
        <v>⚠  1 cell(s) directional only. Try: lower Power (K5) or increase lift assumptions (row 9).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58"/>
    </row>
    <row r="57" spans="1:14" ht="27.75" customHeight="1" x14ac:dyDescent="0.35">
      <c r="A57" s="10"/>
      <c r="B57" s="5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</sheetData>
  <mergeCells count="16">
    <mergeCell ref="B34:K34"/>
    <mergeCell ref="B38:K38"/>
    <mergeCell ref="B42:K42"/>
    <mergeCell ref="B48:M48"/>
    <mergeCell ref="B56:M56"/>
    <mergeCell ref="B7:N7"/>
    <mergeCell ref="B11:N11"/>
    <mergeCell ref="B24:N24"/>
    <mergeCell ref="B26:K26"/>
    <mergeCell ref="B30:K30"/>
    <mergeCell ref="A1:N1"/>
    <mergeCell ref="B3:C3"/>
    <mergeCell ref="D3:E3"/>
    <mergeCell ref="F3:H3"/>
    <mergeCell ref="J3:L3"/>
    <mergeCell ref="M3:N3"/>
  </mergeCells>
  <conditionalFormatting sqref="B57:K57">
    <cfRule type="expression" dxfId="9" priority="4">
      <formula>LEFT(B57,2)="✅"</formula>
    </cfRule>
    <cfRule type="expression" dxfId="8" priority="5">
      <formula>LEFT(B57,2)="❌"</formula>
    </cfRule>
  </conditionalFormatting>
  <conditionalFormatting sqref="F50:F56">
    <cfRule type="expression" dxfId="7" priority="6">
      <formula>LEFT(F50,2)="✅"</formula>
    </cfRule>
    <cfRule type="expression" dxfId="6" priority="7">
      <formula>LEFT(F50,2)="❌"</formula>
    </cfRule>
  </conditionalFormatting>
  <conditionalFormatting sqref="G50:G55">
    <cfRule type="expression" dxfId="5" priority="8">
      <formula>LEFT(G50,2)="✅"</formula>
    </cfRule>
    <cfRule type="expression" dxfId="4" priority="9">
      <formula>LEFT(G50,2)="❌"</formula>
    </cfRule>
  </conditionalFormatting>
  <conditionalFormatting sqref="I26:I47">
    <cfRule type="cellIs" dxfId="3" priority="2" operator="equal">
      <formula>"✅  YES"</formula>
    </cfRule>
    <cfRule type="cellIs" dxfId="2" priority="3" operator="equal">
      <formula>"❌  NO"</formula>
    </cfRule>
  </conditionalFormatting>
  <conditionalFormatting sqref="J50:J55">
    <cfRule type="expression" dxfId="1" priority="10">
      <formula>LEFT(J50,2)="✅"</formula>
    </cfRule>
    <cfRule type="expression" dxfId="0" priority="11">
      <formula>LEFT(J50,2)="⚠"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 AVS</cp:lastModifiedBy>
  <cp:revision>0</cp:revision>
  <dcterms:created xsi:type="dcterms:W3CDTF">2026-03-16T20:26:20Z</dcterms:created>
  <dcterms:modified xsi:type="dcterms:W3CDTF">2026-03-16T20:47:34Z</dcterms:modified>
  <dc:language>en-US</dc:language>
</cp:coreProperties>
</file>