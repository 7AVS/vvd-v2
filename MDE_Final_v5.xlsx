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DE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<sst xmlns="http://schemas.openxmlformats.org/spreadsheetml/2006/main" count="102" uniqueCount="100">
  <si>
    <t xml:space="preserve">── POPULATION &amp; SPLITS ──</t>
  </si>
  <si>
    <t xml:space="preserve">── MODEL DISTRIBUTION ──</t>
  </si>
  <si>
    <t xml:space="preserve">── STATISTICAL PARAMETERS ──</t>
  </si>
  <si>
    <t xml:space="preserve">Total population</t>
  </si>
  <si>
    <t xml:space="preserve">Control %</t>
  </si>
  <si>
    <t xml:space="preserve">Com+Offer %
(of action)</t>
  </si>
  <si>
    <t xml:space="preserve">Com Only %
(auto)</t>
  </si>
  <si>
    <t xml:space="preserve">Web %</t>
  </si>
  <si>
    <t xml:space="preserve">Score %</t>
  </si>
  <si>
    <t xml:space="preserve">Random %</t>
  </si>
  <si>
    <t xml:space="preserve">Baseline p₀</t>
  </si>
  <si>
    <t xml:space="preserve">Alpha (α)</t>
  </si>
  <si>
    <t xml:space="preserve">Power (1-β)</t>
  </si>
  <si>
    <t xml:space="preserve">Zα/2
(auto)</t>
  </si>
  <si>
    <t xml:space="preserve">Zβ
(auto)</t>
  </si>
  <si>
    <t xml:space="preserve">Model % sum check →</t>
  </si>
  <si>
    <t xml:space="preserve">must = 100%</t>
  </si>
  <si>
    <t xml:space="preserve">Web lift
(segment)</t>
  </si>
  <si>
    <t xml:space="preserve">Score lift
(segment)</t>
  </si>
  <si>
    <t xml:space="preserve">Random lift
(segment)</t>
  </si>
  <si>
    <t xml:space="preserve">Overall lift
(top-level)</t>
  </si>
  <si>
    <t xml:space="preserve">ARM-LEVEL BASELINE RATES  —  p₀ per comparison type  (blue = editable)</t>
  </si>
  <si>
    <t xml:space="preserve">Control holdout
(pure baseline — auto)</t>
  </si>
  <si>
    <t xml:space="preserve">Com Only arm
baseline</t>
  </si>
  <si>
    <t xml:space="preserve">Com+Offer arm
baseline</t>
  </si>
  <si>
    <t xml:space="preserve">Random
(within arm)</t>
  </si>
  <si>
    <t xml:space="preserve">Web
(within arm)</t>
  </si>
  <si>
    <t xml:space="preserve">Score
(within arm)</t>
  </si>
  <si>
    <t xml:space="preserve">Used as p₀ in MDE formula per comparison type. E.g. Com+Offer vs Com Only → p₀ = Com Only rate. Web vs Random → p₀ = Random rate.</t>
  </si>
  <si>
    <t xml:space="preserve">POPULATION BREAKDOWN — ALL LEVELS &amp; CELLS</t>
  </si>
  <si>
    <t xml:space="preserve">Level / Segment</t>
  </si>
  <si>
    <t xml:space="preserve">n</t>
  </si>
  <si>
    <t xml:space="preserve">% of total</t>
  </si>
  <si>
    <t xml:space="preserve">% of parent</t>
  </si>
  <si>
    <t xml:space="preserve">Note</t>
  </si>
  <si>
    <t xml:space="preserve">Level 1 — Full population</t>
  </si>
  <si>
    <t xml:space="preserve">—</t>
  </si>
  <si>
    <t xml:space="preserve">Entire eligible population</t>
  </si>
  <si>
    <t xml:space="preserve">Level 2 — Action group vs Control (top-level split)</t>
  </si>
  <si>
    <t xml:space="preserve">Action group  (all treated)</t>
  </si>
  <si>
    <t xml:space="preserve">Control group</t>
  </si>
  <si>
    <t xml:space="preserve">No communication — pure holdout</t>
  </si>
  <si>
    <t xml:space="preserve">Level 3 — Com+Offer vs Com Only (within action group)</t>
  </si>
  <si>
    <t xml:space="preserve">Com + Offer arm</t>
  </si>
  <si>
    <t xml:space="preserve">Com Only arm</t>
  </si>
  <si>
    <t xml:space="preserve">Communication only — no offer</t>
  </si>
  <si>
    <t xml:space="preserve">Level 4 — By model segment (Web / Score / Random)</t>
  </si>
  <si>
    <t xml:space="preserve">Segment</t>
  </si>
  <si>
    <t xml:space="preserve">Com+Offer  n</t>
  </si>
  <si>
    <t xml:space="preserve">Com Only  n</t>
  </si>
  <si>
    <t xml:space="preserve">Control  n</t>
  </si>
  <si>
    <t xml:space="preserve">Total  n</t>
  </si>
  <si>
    <t xml:space="preserve">% of action</t>
  </si>
  <si>
    <t xml:space="preserve">Web model</t>
  </si>
  <si>
    <t xml:space="preserve">Score model</t>
  </si>
  <si>
    <t xml:space="preserve">Random</t>
  </si>
  <si>
    <t xml:space="preserve">TOTAL</t>
  </si>
  <si>
    <t xml:space="preserve">POWER &amp; MDE — ALL LEVELS  |  MDE=(Zα/2+Zβ)×√[p₀(1−p₀)×(1/n_t+1/n_c)]  |  Green = powered  |  Red = underpowered</t>
  </si>
  <si>
    <t xml:space="preserve">Comparison</t>
  </si>
  <si>
    <t xml:space="preserve">n Treatment</t>
  </si>
  <si>
    <t xml:space="preserve">n Control</t>
  </si>
  <si>
    <t xml:space="preserve">p₀</t>
  </si>
  <si>
    <t xml:space="preserve">Target lift</t>
  </si>
  <si>
    <t xml:space="preserve">MDE (actual)</t>
  </si>
  <si>
    <t xml:space="preserve">Req. n
(equal grp)</t>
  </si>
  <si>
    <t xml:space="preserve">Powered?</t>
  </si>
  <si>
    <t xml:space="preserve">Action</t>
  </si>
  <si>
    <t xml:space="preserve">LEVEL 2 — ACTION GROUP vs CONTROL  (top of funnel)</t>
  </si>
  <si>
    <t xml:space="preserve">Action total  vs  Control total</t>
  </si>
  <si>
    <t xml:space="preserve">LEVEL 3 — ARM COMPARISONS</t>
  </si>
  <si>
    <t xml:space="preserve">Com+Offer arm  vs  Control total</t>
  </si>
  <si>
    <t xml:space="preserve">Com Only arm   vs  Control total</t>
  </si>
  <si>
    <t xml:space="preserve">Com+Offer  vs  Com Only  (offer lift)</t>
  </si>
  <si>
    <t xml:space="preserve">LEVEL 4 — CELL-LEVEL: WEB MODEL</t>
  </si>
  <si>
    <t xml:space="preserve">Com+Offer Web  vs  Control Web</t>
  </si>
  <si>
    <t xml:space="preserve">Com Only Web   vs  Control Web</t>
  </si>
  <si>
    <t xml:space="preserve">Com+Offer Web  vs  Com Only Web</t>
  </si>
  <si>
    <t xml:space="preserve">LEVEL 4 — CELL-LEVEL: SCORE MODEL</t>
  </si>
  <si>
    <t xml:space="preserve">Com+Offer Score  vs  Control Score</t>
  </si>
  <si>
    <t xml:space="preserve">Com Only Score   vs  Control Score</t>
  </si>
  <si>
    <t xml:space="preserve">Com+Offer Score  vs  Com Only Score</t>
  </si>
  <si>
    <t xml:space="preserve">LEVEL 4 — CELL-LEVEL: RANDOM  (cleanest — no selection bias)</t>
  </si>
  <si>
    <t xml:space="preserve">Com+Offer Random  vs  Control Random</t>
  </si>
  <si>
    <t xml:space="preserve">Com Only Random   vs  Control Random</t>
  </si>
  <si>
    <t xml:space="preserve">Com+Offer Random  vs  Com Only Random</t>
  </si>
  <si>
    <t xml:space="preserve">MODEL QUALITY — does model selection beat random?</t>
  </si>
  <si>
    <t xml:space="preserve">Web  vs  Random  in  Com+Offer</t>
  </si>
  <si>
    <t xml:space="preserve">Score  vs  Random  in  Com+Offer</t>
  </si>
  <si>
    <t xml:space="preserve">Web  vs  Random  in  Com Only</t>
  </si>
  <si>
    <t xml:space="preserve">Score  vs  Random  in  Com Only</t>
  </si>
  <si>
    <t xml:space="preserve">BOTTLENECK — minimum control % to power ALL cells</t>
  </si>
  <si>
    <t xml:space="preserve">Binding cell</t>
  </si>
  <si>
    <t xml:space="preserve">Min ctrl %</t>
  </si>
  <si>
    <t xml:space="preserve">Min ctrl n</t>
  </si>
  <si>
    <t xml:space="preserve">Current ctrl %</t>
  </si>
  <si>
    <t xml:space="preserve">Status</t>
  </si>
  <si>
    <t xml:space="preserve">Web ctrl  (binding — smallest subgroup)</t>
  </si>
  <si>
    <t xml:space="preserve">Score ctrl</t>
  </si>
  <si>
    <t xml:space="preserve">Random ctrl</t>
  </si>
  <si>
    <t xml:space="preserve">OVERALL — minimum control % required (max of all cells above):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</si>
</sst>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0%"/>
    <numFmt numFmtId="168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0000C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D6E4F0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5F5F5"/>
      </patternFill>
    </fill>
    <fill>
      <patternFill patternType="solid">
        <fgColor rgb="FFD9D9D9"/>
        <bgColor rgb="FFD6E4F0"/>
      </patternFill>
    </fill>
    <fill>
      <patternFill patternType="solid">
        <fgColor rgb="FFEBF3FF"/>
        <bgColor rgb="FFF5F5F5"/>
      </patternFill>
    </fill>
    <fill>
      <patternFill patternType="solid">
        <fgColor rgb="FFF5F5F5"/>
        <bgColor rgb="FFEBF3FF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DEEAF1"/>
        <bgColor rgb="FFD6E4F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7A9CC4"/>
      </left>
      <right style="thin">
        <color rgb="FF7A9CC4"/>
      </right>
      <top style="thin">
        <color rgb="FF7A9CC4"/>
      </top>
      <bottom style="thin">
        <color rgb="FF7A9CC4"/>
      </bottom>
      <diagonal/>
    </border>
    <border diagonalUp="false" diagonalDown="false">
      <left/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CD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EBF3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E2EFDA"/>
      <rgbColor rgb="FFD6E4F0"/>
      <rgbColor rgb="FFEEEEEE"/>
      <rgbColor rgb="FFF5F5F5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7A9CC4"/>
      <rgbColor rgb="FF1F3864"/>
      <rgbColor rgb="FF339966"/>
      <rgbColor rgb="FF003300"/>
      <rgbColor rgb="FF375623"/>
      <rgbColor rgb="FF7B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12" min="3" style="1" width="14"/>
    <col collapsed="false" customWidth="true" hidden="false" outlineLevel="0" max="13" min="13" style="1" width="22"/>
  </cols>
  <sheetData>
    <row r="1" customFormat="false" ht="30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/>
    </row>
    <row r="3" customFormat="false" ht="18" hidden="false" customHeight="true" outlineLevel="0" collapsed="false">
      <c r="A3" s="3"/>
      <c r="B3" s="4" t="s">
        <v>0</v>
      </c>
      <c r="C3" s="4"/>
      <c r="D3" s="4"/>
      <c r="E3" s="4"/>
      <c r="F3" s="5" t="s">
        <v>1</v>
      </c>
      <c r="G3" s="5"/>
      <c r="H3" s="5"/>
      <c r="I3" s="6" t="s">
        <v>2</v>
      </c>
      <c r="J3" s="6"/>
      <c r="K3" s="6"/>
      <c r="L3" s="6"/>
      <c r="M3" s="6"/>
    </row>
    <row r="4" customFormat="false" ht="19.5" hidden="false" customHeight="true" outlineLevel="0" collapsed="false">
      <c r="A4" s="3"/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customFormat="false" ht="25.5" hidden="false" customHeight="true" outlineLevel="0" collapsed="false">
      <c r="A5" s="3"/>
      <c r="B5" s="8" t="n">
        <v>539622</v>
      </c>
      <c r="C5" s="9" t="n">
        <v>0.1</v>
      </c>
      <c r="D5" s="9" t="n">
        <v>0.5</v>
      </c>
      <c r="E5" s="10" t="n">
        <f aca="false">1-D5</f>
        <v>0.5</v>
      </c>
      <c r="F5" s="9" t="n">
        <v>0.24</v>
      </c>
      <c r="G5" s="9" t="n">
        <v>0.23</v>
      </c>
      <c r="H5" s="9" t="n">
        <v>0.53</v>
      </c>
      <c r="I5" s="11" t="n">
        <v>0.0005</v>
      </c>
      <c r="J5" s="9" t="n">
        <v>0.05</v>
      </c>
      <c r="K5" s="9" t="n">
        <v>0.95</v>
      </c>
      <c r="L5" s="12" t="n">
        <f aca="false">NORMSINV(1-J5/2)</f>
        <v>1.95996398454005</v>
      </c>
      <c r="M5" s="12" t="n">
        <f aca="false">NORMSINV(K5)</f>
        <v>1.64485362695147</v>
      </c>
    </row>
    <row r="6" customFormat="false" ht="18" hidden="false" customHeight="true" outlineLevel="0" collapsed="false">
      <c r="A6" s="3"/>
      <c r="B6" s="13" t="s">
        <v>15</v>
      </c>
      <c r="C6" s="14"/>
      <c r="D6" s="15"/>
      <c r="E6" s="15"/>
      <c r="F6" s="16" t="n">
        <f aca="false">F5+G5+H5</f>
        <v>1</v>
      </c>
      <c r="G6" s="17" t="s">
        <v>16</v>
      </c>
      <c r="H6" s="15"/>
      <c r="I6" s="15"/>
      <c r="J6" s="15"/>
      <c r="K6" s="15"/>
      <c r="L6" s="15"/>
      <c r="M6" s="15"/>
    </row>
    <row r="7" customFormat="false" ht="18" hidden="false" customHeight="true" outlineLevel="0" collapsed="false">
      <c r="A7" s="3"/>
      <c r="B7" s="7" t="s">
        <v>17</v>
      </c>
      <c r="C7" s="7" t="s">
        <v>18</v>
      </c>
      <c r="D7" s="7" t="s">
        <v>19</v>
      </c>
      <c r="E7" s="7" t="s">
        <v>20</v>
      </c>
      <c r="F7" s="15"/>
      <c r="G7" s="15"/>
      <c r="H7" s="15"/>
      <c r="I7" s="15"/>
      <c r="J7" s="15"/>
      <c r="K7" s="15"/>
      <c r="L7" s="15"/>
      <c r="M7" s="15"/>
    </row>
    <row r="8" customFormat="false" ht="25.5" hidden="false" customHeight="true" outlineLevel="0" collapsed="false">
      <c r="A8" s="3"/>
      <c r="B8" s="11" t="n">
        <v>0.0008</v>
      </c>
      <c r="C8" s="11" t="n">
        <v>0.0007</v>
      </c>
      <c r="D8" s="11" t="n">
        <v>0.0005</v>
      </c>
      <c r="E8" s="11" t="n">
        <v>0.0005</v>
      </c>
      <c r="F8" s="18"/>
      <c r="G8" s="18"/>
      <c r="H8" s="18"/>
      <c r="I8" s="18"/>
      <c r="J8" s="18"/>
      <c r="K8" s="18"/>
      <c r="L8" s="18"/>
      <c r="M8" s="18"/>
    </row>
    <row r="9" customFormat="false" ht="18" hidden="false" customHeight="true" outlineLevel="0" collapsed="false">
      <c r="A9" s="19"/>
      <c r="B9" s="20" t="s">
        <v>21</v>
      </c>
      <c r="C9" s="20"/>
      <c r="D9" s="20"/>
      <c r="E9" s="20"/>
      <c r="F9" s="20"/>
      <c r="G9" s="20"/>
      <c r="H9" s="20"/>
      <c r="I9" s="20"/>
      <c r="J9" s="20"/>
      <c r="K9" s="20"/>
      <c r="L9" s="19"/>
      <c r="M9" s="19"/>
    </row>
    <row r="10" customFormat="false" ht="31.5" hidden="false" customHeight="true" outlineLevel="0" collapsed="false">
      <c r="B10" s="7" t="s">
        <v>22</v>
      </c>
      <c r="C10" s="7" t="s">
        <v>23</v>
      </c>
      <c r="D10" s="7" t="s">
        <v>24</v>
      </c>
      <c r="E10" s="7" t="s">
        <v>25</v>
      </c>
      <c r="F10" s="7" t="s">
        <v>26</v>
      </c>
      <c r="G10" s="7" t="s">
        <v>27</v>
      </c>
      <c r="H10" s="21" t="s">
        <v>28</v>
      </c>
      <c r="I10" s="21"/>
      <c r="J10" s="21"/>
      <c r="K10" s="21"/>
      <c r="L10" s="22"/>
      <c r="M10" s="22"/>
    </row>
    <row r="11" customFormat="false" ht="25.5" hidden="false" customHeight="true" outlineLevel="0" collapsed="false">
      <c r="B11" s="16" t="n">
        <f aca="false">I5</f>
        <v>0.0005</v>
      </c>
      <c r="C11" s="11" t="n">
        <v>0.0003</v>
      </c>
      <c r="D11" s="11" t="n">
        <v>0.0005</v>
      </c>
      <c r="E11" s="11" t="n">
        <v>0.0002</v>
      </c>
      <c r="F11" s="11" t="n">
        <v>0.0006</v>
      </c>
      <c r="G11" s="11" t="n">
        <v>0.0005</v>
      </c>
      <c r="H11" s="22"/>
      <c r="I11" s="22"/>
      <c r="J11" s="22"/>
      <c r="K11" s="22"/>
      <c r="L11" s="22"/>
      <c r="M11" s="22"/>
    </row>
    <row r="12" customFormat="false" ht="19.5" hidden="false" customHeight="true" outlineLevel="0" collapsed="false">
      <c r="A12" s="3"/>
      <c r="B12" s="4" t="s">
        <v>29</v>
      </c>
      <c r="C12" s="4"/>
      <c r="D12" s="4"/>
      <c r="E12" s="4"/>
      <c r="F12" s="4"/>
      <c r="G12" s="23"/>
      <c r="H12" s="23"/>
      <c r="I12" s="23"/>
      <c r="J12" s="23"/>
      <c r="K12" s="23"/>
      <c r="L12" s="23"/>
    </row>
    <row r="13" customFormat="false" ht="19.5" hidden="false" customHeight="true" outlineLevel="0" collapsed="false">
      <c r="A13" s="3"/>
      <c r="B13" s="24" t="s">
        <v>30</v>
      </c>
      <c r="C13" s="24" t="s">
        <v>31</v>
      </c>
      <c r="D13" s="24" t="s">
        <v>32</v>
      </c>
      <c r="E13" s="24" t="s">
        <v>33</v>
      </c>
      <c r="F13" s="24" t="s">
        <v>34</v>
      </c>
      <c r="G13" s="25"/>
      <c r="H13" s="25"/>
      <c r="I13" s="25"/>
      <c r="J13" s="25"/>
      <c r="K13" s="25"/>
      <c r="L13" s="25"/>
      <c r="M13" s="25"/>
    </row>
    <row r="14" customFormat="false" ht="18" hidden="false" customHeight="true" outlineLevel="0" collapsed="false">
      <c r="A14" s="3"/>
      <c r="B14" s="26" t="s">
        <v>35</v>
      </c>
      <c r="C14" s="26"/>
      <c r="D14" s="26"/>
      <c r="E14" s="26"/>
      <c r="F14" s="26"/>
    </row>
    <row r="15" customFormat="false" ht="19.5" hidden="false" customHeight="true" outlineLevel="0" collapsed="false">
      <c r="A15" s="3"/>
      <c r="B15" s="27" t="s">
        <v>3</v>
      </c>
      <c r="C15" s="28" t="n">
        <f aca="false">B5</f>
        <v>539622</v>
      </c>
      <c r="D15" s="16" t="n">
        <f aca="false">B5/B5</f>
        <v>1</v>
      </c>
      <c r="E15" s="18" t="s">
        <v>36</v>
      </c>
      <c r="F15" s="29" t="s">
        <v>37</v>
      </c>
    </row>
    <row r="16" customFormat="false" ht="19.5" hidden="false" customHeight="true" outlineLevel="0" collapsed="false">
      <c r="A16" s="3"/>
      <c r="B16" s="4" t="s">
        <v>38</v>
      </c>
      <c r="C16" s="23"/>
      <c r="D16" s="23"/>
      <c r="E16" s="23"/>
      <c r="F16" s="23"/>
    </row>
    <row r="17" customFormat="false" ht="18" hidden="false" customHeight="true" outlineLevel="0" collapsed="false">
      <c r="A17" s="3"/>
      <c r="B17" s="30" t="s">
        <v>39</v>
      </c>
      <c r="C17" s="31" t="n">
        <f aca="false">ROUND(B5*(1-C5),0)</f>
        <v>485660</v>
      </c>
      <c r="D17" s="32" t="n">
        <f aca="false">C17/B5</f>
        <v>0.900000370629811</v>
      </c>
      <c r="E17" s="32" t="n">
        <f aca="false">1-C5</f>
        <v>0.9</v>
      </c>
    </row>
    <row r="18" customFormat="false" ht="19.5" hidden="false" customHeight="true" outlineLevel="0" collapsed="false">
      <c r="A18" s="3"/>
      <c r="B18" s="33" t="s">
        <v>40</v>
      </c>
      <c r="C18" s="34" t="n">
        <f aca="false">ROUND(B5*C5,0)</f>
        <v>53962</v>
      </c>
      <c r="D18" s="35" t="n">
        <f aca="false">C16/B5</f>
        <v>0</v>
      </c>
      <c r="E18" s="35" t="n">
        <f aca="false">C5</f>
        <v>0.1</v>
      </c>
      <c r="F18" s="36" t="s">
        <v>41</v>
      </c>
    </row>
    <row r="19" customFormat="false" ht="19.5" hidden="false" customHeight="true" outlineLevel="0" collapsed="false">
      <c r="A19" s="3"/>
      <c r="B19" s="4" t="s">
        <v>42</v>
      </c>
      <c r="C19" s="23"/>
      <c r="D19" s="23"/>
      <c r="E19" s="23"/>
      <c r="F19" s="23"/>
    </row>
    <row r="20" customFormat="false" ht="18" hidden="false" customHeight="true" outlineLevel="0" collapsed="false">
      <c r="A20" s="3"/>
      <c r="B20" s="30" t="s">
        <v>43</v>
      </c>
      <c r="C20" s="31" t="n">
        <f aca="false">ROUND(C17*D5,0)</f>
        <v>242830</v>
      </c>
      <c r="D20" s="32" t="n">
        <f aca="false">C20/B5</f>
        <v>0.450000185314906</v>
      </c>
      <c r="E20" s="32" t="n">
        <f aca="false">D5</f>
        <v>0.5</v>
      </c>
    </row>
    <row r="21" customFormat="false" ht="19.5" hidden="false" customHeight="true" outlineLevel="0" collapsed="false">
      <c r="A21" s="3"/>
      <c r="B21" s="30" t="s">
        <v>44</v>
      </c>
      <c r="C21" s="31" t="n">
        <f aca="false">ROUND(C17*E5,0)</f>
        <v>242830</v>
      </c>
      <c r="D21" s="32" t="n">
        <f aca="false">C21/B5</f>
        <v>0.450000185314906</v>
      </c>
      <c r="E21" s="32" t="n">
        <f aca="false">E5</f>
        <v>0.5</v>
      </c>
      <c r="F21" s="37" t="s">
        <v>45</v>
      </c>
    </row>
    <row r="22" customFormat="false" ht="19.5" hidden="false" customHeight="true" outlineLevel="0" collapsed="false">
      <c r="A22" s="3"/>
      <c r="B22" s="4" t="s">
        <v>46</v>
      </c>
      <c r="C22" s="23"/>
      <c r="D22" s="23"/>
      <c r="E22" s="23"/>
      <c r="F22" s="23"/>
    </row>
    <row r="23" customFormat="false" ht="19.5" hidden="false" customHeight="true" outlineLevel="0" collapsed="false">
      <c r="A23" s="3"/>
      <c r="B23" s="24" t="s">
        <v>47</v>
      </c>
      <c r="C23" s="24" t="s">
        <v>48</v>
      </c>
      <c r="D23" s="24" t="s">
        <v>49</v>
      </c>
      <c r="E23" s="24" t="s">
        <v>50</v>
      </c>
      <c r="F23" s="24" t="s">
        <v>51</v>
      </c>
      <c r="G23" s="24" t="s">
        <v>32</v>
      </c>
      <c r="H23" s="24" t="s">
        <v>52</v>
      </c>
    </row>
    <row r="24" customFormat="false" ht="19.5" hidden="false" customHeight="true" outlineLevel="0" collapsed="false">
      <c r="A24" s="3"/>
      <c r="B24" s="30" t="s">
        <v>53</v>
      </c>
      <c r="C24" s="38" t="n">
        <f aca="false">ROUND(C20*F5,0)</f>
        <v>58279</v>
      </c>
      <c r="D24" s="38" t="n">
        <f aca="false">ROUND(C21*F5,0)</f>
        <v>58279</v>
      </c>
      <c r="E24" s="34" t="n">
        <f aca="false">ROUND(C18*F5,0)</f>
        <v>12951</v>
      </c>
      <c r="F24" s="39" t="n">
        <f aca="false">C24+D24+E24</f>
        <v>129509</v>
      </c>
      <c r="G24" s="40" t="n">
        <f aca="false">F24/B5</f>
        <v>0.239999481118264</v>
      </c>
      <c r="H24" s="40" t="n">
        <f aca="false">C24/C17</f>
        <v>0.119999588189268</v>
      </c>
    </row>
    <row r="25" customFormat="false" ht="19.5" hidden="false" customHeight="true" outlineLevel="0" collapsed="false">
      <c r="A25" s="3"/>
      <c r="B25" s="30" t="s">
        <v>54</v>
      </c>
      <c r="C25" s="38" t="n">
        <f aca="false">ROUND(C20*G5,0)</f>
        <v>55851</v>
      </c>
      <c r="D25" s="38" t="n">
        <f aca="false">ROUND(C21*G5,0)</f>
        <v>55851</v>
      </c>
      <c r="E25" s="34" t="n">
        <f aca="false">ROUND(C18*G5,0)</f>
        <v>12411</v>
      </c>
      <c r="F25" s="39" t="n">
        <f aca="false">C25+D25+E25</f>
        <v>124113</v>
      </c>
      <c r="G25" s="40" t="n">
        <f aca="false">F25/B5</f>
        <v>0.229999888811057</v>
      </c>
      <c r="H25" s="40" t="n">
        <f aca="false">C25/C17</f>
        <v>0.115000205905366</v>
      </c>
    </row>
    <row r="26" customFormat="false" ht="6" hidden="false" customHeight="true" outlineLevel="0" collapsed="false">
      <c r="A26" s="3"/>
      <c r="B26" s="30" t="s">
        <v>55</v>
      </c>
      <c r="C26" s="38" t="n">
        <f aca="false">ROUND(C20*H5,0)</f>
        <v>128700</v>
      </c>
      <c r="D26" s="38" t="n">
        <f aca="false">ROUND(C21*H5,0)</f>
        <v>128700</v>
      </c>
      <c r="E26" s="34" t="n">
        <f aca="false">ROUND(C18*H5,0)</f>
        <v>28600</v>
      </c>
      <c r="F26" s="39" t="n">
        <f aca="false">C26+D26+E26</f>
        <v>286000</v>
      </c>
      <c r="G26" s="40" t="n">
        <f aca="false">F26/B5</f>
        <v>0.530000630070679</v>
      </c>
      <c r="H26" s="40" t="n">
        <f aca="false">C26/C17</f>
        <v>0.265000205905366</v>
      </c>
    </row>
    <row r="27" customFormat="false" ht="18" hidden="false" customHeight="true" outlineLevel="0" collapsed="false">
      <c r="A27" s="3"/>
      <c r="B27" s="41" t="s">
        <v>56</v>
      </c>
      <c r="C27" s="42" t="n">
        <f aca="false">SUM(C24:C26)</f>
        <v>242830</v>
      </c>
      <c r="D27" s="42" t="n">
        <f aca="false">SUM(D24:D26)</f>
        <v>242830</v>
      </c>
      <c r="E27" s="34" t="n">
        <f aca="false">SUM(E24:E26)</f>
        <v>53962</v>
      </c>
      <c r="F27" s="42" t="n">
        <f aca="false">SUM(F24:F26)</f>
        <v>539622</v>
      </c>
      <c r="G27" s="43" t="n">
        <f aca="false">F27/B5</f>
        <v>1</v>
      </c>
      <c r="H27" s="43" t="n">
        <f aca="false">C27/C17</f>
        <v>0.5</v>
      </c>
    </row>
    <row r="28" customFormat="false" ht="27.75" hidden="false" customHeight="true" outlineLevel="0" collapsed="false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</row>
    <row r="29" customFormat="false" ht="19.5" hidden="false" customHeight="true" outlineLevel="0" collapsed="false">
      <c r="A29" s="3"/>
      <c r="B29" s="4" t="s">
        <v>57</v>
      </c>
      <c r="C29" s="4"/>
      <c r="D29" s="4"/>
      <c r="E29" s="4"/>
      <c r="F29" s="4"/>
      <c r="G29" s="4"/>
      <c r="H29" s="4"/>
      <c r="I29" s="4"/>
      <c r="J29" s="4"/>
      <c r="K29" s="4"/>
      <c r="L29" s="23"/>
    </row>
    <row r="30" customFormat="false" ht="19.5" hidden="false" customHeight="true" outlineLevel="0" collapsed="false">
      <c r="A30" s="3"/>
      <c r="B30" s="45" t="s">
        <v>58</v>
      </c>
      <c r="C30" s="45" t="s">
        <v>59</v>
      </c>
      <c r="D30" s="45" t="s">
        <v>60</v>
      </c>
      <c r="E30" s="45" t="s">
        <v>61</v>
      </c>
      <c r="F30" s="45" t="s">
        <v>62</v>
      </c>
      <c r="G30" s="45" t="s">
        <v>63</v>
      </c>
      <c r="H30" s="45" t="s">
        <v>64</v>
      </c>
      <c r="I30" s="45" t="s">
        <v>65</v>
      </c>
      <c r="J30" s="45" t="s">
        <v>66</v>
      </c>
      <c r="K30" s="25"/>
    </row>
    <row r="31" customFormat="false" ht="19.5" hidden="false" customHeight="true" outlineLevel="0" collapsed="false">
      <c r="A31" s="3"/>
      <c r="B31" s="46" t="s">
        <v>67</v>
      </c>
      <c r="C31" s="46"/>
      <c r="D31" s="46"/>
      <c r="E31" s="46"/>
      <c r="F31" s="46"/>
      <c r="G31" s="46"/>
      <c r="H31" s="46"/>
      <c r="I31" s="46"/>
      <c r="J31" s="46"/>
      <c r="K31" s="46"/>
    </row>
    <row r="32" customFormat="false" ht="19.5" hidden="false" customHeight="true" outlineLevel="0" collapsed="false">
      <c r="A32" s="3"/>
      <c r="B32" s="47" t="s">
        <v>68</v>
      </c>
      <c r="C32" s="38" t="n">
        <f aca="false">C17</f>
        <v>485660</v>
      </c>
      <c r="D32" s="38" t="n">
        <f aca="false">C18</f>
        <v>53962</v>
      </c>
      <c r="E32" s="32" t="n">
        <f aca="false">B11</f>
        <v>0.0005</v>
      </c>
      <c r="F32" s="32" t="n">
        <f aca="false">E8</f>
        <v>0.0005</v>
      </c>
      <c r="G32" s="48" t="n">
        <f aca="false">(L5+M5)*SQRT(E32*(1-E32)*(1/C32+1/D32))</f>
        <v>0.000365674212340564</v>
      </c>
      <c r="H32" s="38" t="n">
        <f aca="false">CEILING((L5+M5)^2*(E32*(1-E32)+(E32+F32)*(1-(E32+F32)))/F32^2,1)</f>
        <v>77904</v>
      </c>
      <c r="I32" s="49" t="str">
        <f aca="false">IF(G32&lt;=F32,"✅  YES","❌  NO")</f>
        <v>✅  YES</v>
      </c>
      <c r="J32" s="50" t="str">
        <f aca="false">IF(G32&lt;=F32,"Conclusive",IF(G32&lt;=F32*1.3,"Directional","⚠ raise ctrl %))))))))))))))))</f>
        <v>Conclusive</v>
      </c>
      <c r="K32" s="50"/>
    </row>
    <row r="33" customFormat="false" ht="19.5" hidden="false" customHeight="true" outlineLevel="0" collapsed="false">
      <c r="A33" s="3"/>
      <c r="B33" s="46" t="s">
        <v>69</v>
      </c>
      <c r="C33" s="23"/>
      <c r="D33" s="23"/>
      <c r="E33" s="23"/>
      <c r="F33" s="23"/>
      <c r="G33" s="23"/>
      <c r="H33" s="23"/>
      <c r="I33" s="23"/>
      <c r="J33" s="23"/>
      <c r="K33" s="23"/>
    </row>
    <row r="34" customFormat="false" ht="19.5" hidden="false" customHeight="true" outlineLevel="0" collapsed="false">
      <c r="A34" s="3"/>
      <c r="B34" s="47" t="s">
        <v>70</v>
      </c>
      <c r="C34" s="38" t="n">
        <f aca="false">C20</f>
        <v>242830</v>
      </c>
      <c r="D34" s="38" t="n">
        <f aca="false">C18</f>
        <v>53962</v>
      </c>
      <c r="E34" s="32" t="n">
        <f aca="false">B11</f>
        <v>0.0005</v>
      </c>
      <c r="F34" s="32" t="n">
        <f aca="false">E8</f>
        <v>0.0005</v>
      </c>
      <c r="G34" s="48" t="n">
        <f aca="false">(L5+M5)*SQRT(E34*(1-E34)*(1/C34+1/D34))</f>
        <v>0.000383522284839149</v>
      </c>
      <c r="H34" s="38" t="n">
        <f aca="false">CEILING((L5+M5)^2*(E34*(1-E34)+(E34+F34)*(1-(E34+F34)))/F34^2,1)</f>
        <v>77904</v>
      </c>
      <c r="I34" s="49" t="str">
        <f aca="false">IF(G34&lt;=F34,"✅  YES","❌  NO")</f>
        <v>✅  YES</v>
      </c>
      <c r="J34" s="50" t="str">
        <f aca="false">IF(G34&lt;=F34,"Conclusive",IF(G34&lt;=F34*1.3,"Directional","⚠ raise ctrl %))))))))))))))))</f>
        <v>Conclusive</v>
      </c>
      <c r="K34" s="50"/>
    </row>
    <row r="35" customFormat="false" ht="19.5" hidden="false" customHeight="true" outlineLevel="0" collapsed="false">
      <c r="A35" s="3"/>
      <c r="B35" s="47" t="s">
        <v>71</v>
      </c>
      <c r="C35" s="38" t="n">
        <f aca="false">C21</f>
        <v>242830</v>
      </c>
      <c r="D35" s="38" t="n">
        <f aca="false">C18</f>
        <v>53962</v>
      </c>
      <c r="E35" s="32" t="n">
        <f aca="false">B11</f>
        <v>0.0005</v>
      </c>
      <c r="F35" s="32" t="n">
        <f aca="false">E8</f>
        <v>0.0005</v>
      </c>
      <c r="G35" s="48" t="n">
        <f aca="false">(L5+M5)*SQRT(E35*(1-E35)*(1/C35+1/D35))</f>
        <v>0.000383522284839149</v>
      </c>
      <c r="H35" s="38" t="n">
        <f aca="false">CEILING((L5+M5)^2*(E35*(1-E35)+(E35+F35)*(1-(E35+F35)))/F35^2,1)</f>
        <v>77904</v>
      </c>
      <c r="I35" s="49" t="str">
        <f aca="false">IF(G35&lt;=F35,"✅  YES","❌  NO")</f>
        <v>✅  YES</v>
      </c>
      <c r="J35" s="50" t="str">
        <f aca="false">IF(G35&lt;=F35,"Conclusive",IF(G35&lt;=F35*1.3,"Directional","⚠ raise ctrl %))))))))))))))))</f>
        <v>Conclusive</v>
      </c>
    </row>
    <row r="36" customFormat="false" ht="19.5" hidden="false" customHeight="true" outlineLevel="0" collapsed="false">
      <c r="A36" s="3"/>
      <c r="B36" s="47" t="s">
        <v>72</v>
      </c>
      <c r="C36" s="38" t="n">
        <f aca="false">C20</f>
        <v>242830</v>
      </c>
      <c r="D36" s="38" t="n">
        <f aca="false">C21</f>
        <v>242830</v>
      </c>
      <c r="E36" s="32" t="n">
        <f aca="false">C11</f>
        <v>0.0003</v>
      </c>
      <c r="F36" s="32" t="n">
        <f aca="false">E8</f>
        <v>0.0005</v>
      </c>
      <c r="G36" s="48" t="n">
        <f aca="false">(L5+M5)*SQRT(E36*(1-E36)*(1/C36+1/D36))</f>
        <v>0.000179160636823176</v>
      </c>
      <c r="H36" s="38" t="n">
        <f aca="false">CEILING((L5+M5)^2*(E36*(1-E36)+(E36+F36)*(1-(E36+F36)))/F36^2,1)</f>
        <v>57139</v>
      </c>
      <c r="I36" s="49" t="str">
        <f aca="false">IF(G36&lt;=F36,"✅  YES","❌  NO")</f>
        <v>✅  YES</v>
      </c>
      <c r="J36" s="50" t="str">
        <f aca="false">IF(G36&lt;=F36,"Conclusive",IF(G36&lt;=F36*1.3,"Directional","⚠ raise ctrl %))))))))))))))))</f>
        <v>Conclusive</v>
      </c>
      <c r="K36" s="50"/>
    </row>
    <row r="37" customFormat="false" ht="19.5" hidden="false" customHeight="true" outlineLevel="0" collapsed="false">
      <c r="A37" s="3"/>
      <c r="B37" s="46" t="s">
        <v>73</v>
      </c>
      <c r="C37" s="23"/>
      <c r="D37" s="23"/>
      <c r="E37" s="23"/>
      <c r="F37" s="23"/>
      <c r="G37" s="23"/>
      <c r="H37" s="23"/>
      <c r="I37" s="23"/>
      <c r="J37" s="23"/>
      <c r="K37" s="23"/>
    </row>
    <row r="38" customFormat="false" ht="19.5" hidden="false" customHeight="true" outlineLevel="0" collapsed="false">
      <c r="A38" s="3"/>
      <c r="B38" s="47" t="s">
        <v>74</v>
      </c>
      <c r="C38" s="38" t="n">
        <f aca="false">C24</f>
        <v>58279</v>
      </c>
      <c r="D38" s="38" t="n">
        <f aca="false">E24</f>
        <v>12951</v>
      </c>
      <c r="E38" s="32" t="n">
        <f aca="false">B11</f>
        <v>0.0005</v>
      </c>
      <c r="F38" s="32" t="n">
        <f aca="false">B8</f>
        <v>0.0008</v>
      </c>
      <c r="G38" s="48" t="n">
        <f aca="false">(L5+M5)*SQRT(E38*(1-E38)*(1/C38+1/D38))</f>
        <v>0.00078285886248488</v>
      </c>
      <c r="H38" s="38" t="n">
        <f aca="false">CEILING((L5+M5)^2*(E38*(1-E38)+(E38+F38)*(1-(E38+F38)))/F38^2,1)</f>
        <v>36509</v>
      </c>
      <c r="I38" s="49" t="str">
        <f aca="false">IF(G38&lt;=F38,"✅  YES","❌  NO")</f>
        <v>✅  YES</v>
      </c>
      <c r="J38" s="50" t="str">
        <f aca="false">IF(G38&lt;=F38,"Conclusive",IF(G38&lt;=F38*1.3,"Directional","⚠ raise ctrl %))))))))))))))</f>
        <v>Conclusive</v>
      </c>
      <c r="K38" s="50"/>
    </row>
    <row r="39" customFormat="false" ht="19.5" hidden="false" customHeight="true" outlineLevel="0" collapsed="false">
      <c r="A39" s="3"/>
      <c r="B39" s="47" t="s">
        <v>75</v>
      </c>
      <c r="C39" s="38" t="n">
        <f aca="false">D24</f>
        <v>58279</v>
      </c>
      <c r="D39" s="38" t="n">
        <f aca="false">E24</f>
        <v>12951</v>
      </c>
      <c r="E39" s="32" t="n">
        <f aca="false">B11</f>
        <v>0.0005</v>
      </c>
      <c r="F39" s="32" t="n">
        <f aca="false">B8</f>
        <v>0.0008</v>
      </c>
      <c r="G39" s="48" t="n">
        <f aca="false">(L5+M5)*SQRT(E39*(1-E39)*(1/C39+1/D39))</f>
        <v>0.00078285886248488</v>
      </c>
      <c r="H39" s="38" t="n">
        <f aca="false">CEILING((L5+M5)^2*(E39*(1-E39)+(E39+F39)*(1-(E39+F39)))/F39^2,1)</f>
        <v>36509</v>
      </c>
      <c r="I39" s="49" t="str">
        <f aca="false">IF(G39&lt;=F39,"✅  YES","❌  NO")</f>
        <v>✅  YES</v>
      </c>
      <c r="J39" s="50" t="str">
        <f aca="false">IF(G39&lt;=F39,"Conclusive",IF(G39&lt;=F39*1.3,"Directional","⚠ raise ctrl %))))))))))))))</f>
        <v>Conclusive</v>
      </c>
    </row>
    <row r="40" customFormat="false" ht="19.5" hidden="false" customHeight="true" outlineLevel="0" collapsed="false">
      <c r="A40" s="3"/>
      <c r="B40" s="47" t="s">
        <v>76</v>
      </c>
      <c r="C40" s="38" t="n">
        <f aca="false">C24</f>
        <v>58279</v>
      </c>
      <c r="D40" s="38" t="n">
        <f aca="false">D24</f>
        <v>58279</v>
      </c>
      <c r="E40" s="32" t="n">
        <f aca="false">C11</f>
        <v>0.0003</v>
      </c>
      <c r="F40" s="32" t="n">
        <f aca="false">B8</f>
        <v>0.0008</v>
      </c>
      <c r="G40" s="48" t="n">
        <f aca="false">(L5+M5)*SQRT(E40*(1-E40)*(1/C40+1/D40))</f>
        <v>0.000365710746022972</v>
      </c>
      <c r="H40" s="38" t="n">
        <f aca="false">CEILING((L5+M5)^2*(E40*(1-E40)+(E40+F40)*(1-(E40+F40)))/F40^2,1)</f>
        <v>28400</v>
      </c>
      <c r="I40" s="49" t="str">
        <f aca="false">IF(G40&lt;=F40,"✅  YES","❌  NO")</f>
        <v>✅  YES</v>
      </c>
      <c r="J40" s="50" t="str">
        <f aca="false">IF(G40&lt;=F40,"Conclusive",IF(G40&lt;=F40*1.3,"Directional","⚠ raise ctrl %))))))))))))))</f>
        <v>Conclusive</v>
      </c>
      <c r="K40" s="50"/>
    </row>
    <row r="41" customFormat="false" ht="19.5" hidden="false" customHeight="true" outlineLevel="0" collapsed="false">
      <c r="A41" s="3"/>
      <c r="B41" s="46" t="s">
        <v>77</v>
      </c>
      <c r="C41" s="23"/>
      <c r="D41" s="23"/>
      <c r="E41" s="23"/>
      <c r="F41" s="23"/>
      <c r="G41" s="23"/>
      <c r="H41" s="23"/>
      <c r="I41" s="23"/>
      <c r="J41" s="23"/>
      <c r="K41" s="23"/>
    </row>
    <row r="42" customFormat="false" ht="19.5" hidden="false" customHeight="true" outlineLevel="0" collapsed="false">
      <c r="A42" s="3"/>
      <c r="B42" s="47" t="s">
        <v>78</v>
      </c>
      <c r="C42" s="38" t="n">
        <f aca="false">C25</f>
        <v>55851</v>
      </c>
      <c r="D42" s="38" t="n">
        <f aca="false">E25</f>
        <v>12411</v>
      </c>
      <c r="E42" s="32" t="n">
        <f aca="false">B11</f>
        <v>0.0005</v>
      </c>
      <c r="F42" s="32" t="n">
        <f aca="false">C8</f>
        <v>0.0007</v>
      </c>
      <c r="G42" s="48" t="n">
        <f aca="false">(L5+M5)*SQRT(E42*(1-E42)*(1/C42+1/D42))</f>
        <v>0.000799705968330891</v>
      </c>
      <c r="H42" s="38" t="n">
        <f aca="false">CEILING((L5+M5)^2*(E42*(1-E42)+(E42+F42)*(1-(E42+F42)))/F42^2,1)</f>
        <v>45039</v>
      </c>
      <c r="I42" s="49" t="str">
        <f aca="false">IF(G42&lt;=F42,"✅  YES","❌  NO")</f>
        <v>❌  NO</v>
      </c>
      <c r="J42" s="50" t="str">
        <f aca="false">IF(G42&lt;=F42,"Conclusive",IF(G42&lt;=F42*1.3,"Directional","⚠ raise ctrl %))))))))))))))</f>
        <v>Directional</v>
      </c>
      <c r="K42" s="50"/>
    </row>
    <row r="43" customFormat="false" ht="19.5" hidden="false" customHeight="true" outlineLevel="0" collapsed="false">
      <c r="A43" s="3"/>
      <c r="B43" s="47" t="s">
        <v>79</v>
      </c>
      <c r="C43" s="38" t="n">
        <f aca="false">D25</f>
        <v>55851</v>
      </c>
      <c r="D43" s="38" t="n">
        <f aca="false">E25</f>
        <v>12411</v>
      </c>
      <c r="E43" s="32" t="n">
        <f aca="false">B11</f>
        <v>0.0005</v>
      </c>
      <c r="F43" s="32" t="n">
        <f aca="false">C8</f>
        <v>0.0007</v>
      </c>
      <c r="G43" s="48" t="n">
        <f aca="false">(L5+M5)*SQRT(E43*(1-E43)*(1/C43+1/D43))</f>
        <v>0.000799705968330891</v>
      </c>
      <c r="H43" s="38" t="n">
        <f aca="false">CEILING((L5+M5)^2*(E43*(1-E43)+(E43+F43)*(1-(E43+F43)))/F43^2,1)</f>
        <v>45039</v>
      </c>
      <c r="I43" s="49" t="str">
        <f aca="false">IF(G43&lt;=F43,"✅  YES","❌  NO")</f>
        <v>❌  NO</v>
      </c>
      <c r="J43" s="50" t="str">
        <f aca="false">IF(G43&lt;=F43,"Conclusive",IF(G43&lt;=F43*1.3,"Directional","⚠ raise ctrl %))))))))))))))</f>
        <v>Directional</v>
      </c>
    </row>
    <row r="44" customFormat="false" ht="19.5" hidden="false" customHeight="true" outlineLevel="0" collapsed="false">
      <c r="A44" s="3"/>
      <c r="B44" s="47" t="s">
        <v>80</v>
      </c>
      <c r="C44" s="38" t="n">
        <f aca="false">C25</f>
        <v>55851</v>
      </c>
      <c r="D44" s="38" t="n">
        <f aca="false">D25</f>
        <v>55851</v>
      </c>
      <c r="E44" s="32" t="n">
        <f aca="false">C11</f>
        <v>0.0003</v>
      </c>
      <c r="F44" s="32" t="n">
        <f aca="false">C8</f>
        <v>0.0007</v>
      </c>
      <c r="G44" s="48" t="n">
        <f aca="false">(L5+M5)*SQRT(E44*(1-E44)*(1/C44+1/D44))</f>
        <v>0.000373575417652992</v>
      </c>
      <c r="H44" s="38" t="n">
        <f aca="false">CEILING((L5+M5)^2*(E44*(1-E44)+(E44+F44)*(1-(E44+F44)))/F44^2,1)</f>
        <v>34447</v>
      </c>
      <c r="I44" s="49" t="str">
        <f aca="false">IF(G44&lt;=F44,"✅  YES","❌  NO")</f>
        <v>✅  YES</v>
      </c>
      <c r="J44" s="50" t="str">
        <f aca="false">IF(G44&lt;=F44,"Conclusive",IF(G44&lt;=F44*1.3,"Directional","⚠ raise ctrl %))))))))))))))</f>
        <v>Conclusive</v>
      </c>
      <c r="K44" s="50"/>
    </row>
    <row r="45" customFormat="false" ht="19.5" hidden="false" customHeight="true" outlineLevel="0" collapsed="false">
      <c r="A45" s="3"/>
      <c r="B45" s="46" t="s">
        <v>81</v>
      </c>
      <c r="C45" s="23"/>
      <c r="D45" s="23"/>
      <c r="E45" s="23"/>
      <c r="F45" s="23"/>
      <c r="G45" s="23"/>
      <c r="H45" s="23"/>
      <c r="I45" s="23"/>
      <c r="J45" s="23"/>
      <c r="K45" s="23"/>
    </row>
    <row r="46" customFormat="false" ht="19.5" hidden="false" customHeight="true" outlineLevel="0" collapsed="false">
      <c r="A46" s="3"/>
      <c r="B46" s="47" t="s">
        <v>82</v>
      </c>
      <c r="C46" s="38" t="n">
        <f aca="false">C26</f>
        <v>128700</v>
      </c>
      <c r="D46" s="38" t="n">
        <f aca="false">E26</f>
        <v>28600</v>
      </c>
      <c r="E46" s="32" t="n">
        <f aca="false">B11</f>
        <v>0.0005</v>
      </c>
      <c r="F46" s="32" t="n">
        <f aca="false">D8</f>
        <v>0.0005</v>
      </c>
      <c r="G46" s="48" t="n">
        <f aca="false">(L5+M5)*SQRT(E46*(1-E46)*(1/C46+1/D46))</f>
        <v>0.000526807281153917</v>
      </c>
      <c r="H46" s="38" t="n">
        <f aca="false">CEILING((L5+M5)^2*(E46*(1-E46)+(E46+F46)*(1-(E46+F46)))/F46^2,1)</f>
        <v>77904</v>
      </c>
      <c r="I46" s="49" t="str">
        <f aca="false">IF(G46&lt;=F46,"✅  YES","❌  NO")</f>
        <v>❌  NO</v>
      </c>
      <c r="J46" s="50" t="str">
        <f aca="false">IF(G46&lt;=F46,"Conclusive",IF(G46&lt;=F46*1.3,"Directional","⚠ raise ctrl %))))))))))))))</f>
        <v>Directional</v>
      </c>
      <c r="K46" s="50"/>
    </row>
    <row r="47" customFormat="false" ht="19.5" hidden="false" customHeight="true" outlineLevel="0" collapsed="false">
      <c r="A47" s="3"/>
      <c r="B47" s="47" t="s">
        <v>83</v>
      </c>
      <c r="C47" s="38" t="n">
        <f aca="false">D26</f>
        <v>128700</v>
      </c>
      <c r="D47" s="38" t="n">
        <f aca="false">E26</f>
        <v>28600</v>
      </c>
      <c r="E47" s="32" t="n">
        <f aca="false">B11</f>
        <v>0.0005</v>
      </c>
      <c r="F47" s="32" t="n">
        <f aca="false">D8</f>
        <v>0.0005</v>
      </c>
      <c r="G47" s="48" t="n">
        <f aca="false">(L5+M5)*SQRT(E47*(1-E47)*(1/C47+1/D47))</f>
        <v>0.000526807281153917</v>
      </c>
      <c r="H47" s="38" t="n">
        <f aca="false">CEILING((L5+M5)^2*(E47*(1-E47)+(E47+F47)*(1-(E47+F47)))/F47^2,1)</f>
        <v>77904</v>
      </c>
      <c r="I47" s="49" t="str">
        <f aca="false">IF(G47&lt;=F47,"✅  YES","❌  NO")</f>
        <v>❌  NO</v>
      </c>
      <c r="J47" s="50" t="str">
        <f aca="false">IF(G47&lt;=F47,"Conclusive",IF(G47&lt;=F47*1.3,"Directional","⚠ raise ctrl %))))))))))))))</f>
        <v>Directional</v>
      </c>
    </row>
    <row r="48" customFormat="false" ht="19.5" hidden="false" customHeight="true" outlineLevel="0" collapsed="false">
      <c r="A48" s="3"/>
      <c r="B48" s="47" t="s">
        <v>84</v>
      </c>
      <c r="C48" s="38" t="n">
        <f aca="false">C26</f>
        <v>128700</v>
      </c>
      <c r="D48" s="38" t="n">
        <f aca="false">D26</f>
        <v>128700</v>
      </c>
      <c r="E48" s="32" t="n">
        <f aca="false">C11</f>
        <v>0.0003</v>
      </c>
      <c r="F48" s="32" t="n">
        <f aca="false">D8</f>
        <v>0.0005</v>
      </c>
      <c r="G48" s="48" t="n">
        <f aca="false">(L5+M5)*SQRT(E48*(1-E48)*(1/C48+1/D48))</f>
        <v>0.000246095965505943</v>
      </c>
      <c r="H48" s="38" t="n">
        <f aca="false">CEILING((L5+M5)^2*(E48*(1-E48)+(E48+F48)*(1-(E48+F48)))/F48^2,1)</f>
        <v>57139</v>
      </c>
      <c r="I48" s="49" t="str">
        <f aca="false">IF(G48&lt;=F48,"✅  YES","❌  NO")</f>
        <v>✅  YES</v>
      </c>
      <c r="J48" s="50" t="str">
        <f aca="false">IF(G48&lt;=F48,"Conclusive",IF(G48&lt;=F48*1.3,"Directional","⚠ raise ctrl %))))))))))))))</f>
        <v>Conclusive</v>
      </c>
      <c r="K48" s="50"/>
    </row>
    <row r="49" customFormat="false" ht="19.5" hidden="false" customHeight="true" outlineLevel="0" collapsed="false">
      <c r="A49" s="3"/>
      <c r="B49" s="46" t="s">
        <v>85</v>
      </c>
      <c r="C49" s="23"/>
      <c r="D49" s="23"/>
      <c r="E49" s="23"/>
      <c r="F49" s="23"/>
      <c r="G49" s="23"/>
      <c r="H49" s="23"/>
      <c r="I49" s="23"/>
      <c r="J49" s="23"/>
      <c r="K49" s="23"/>
    </row>
    <row r="50" customFormat="false" ht="19.5" hidden="false" customHeight="true" outlineLevel="0" collapsed="false">
      <c r="A50" s="3"/>
      <c r="B50" s="51" t="s">
        <v>86</v>
      </c>
      <c r="C50" s="52" t="n">
        <f aca="false">C24</f>
        <v>58279</v>
      </c>
      <c r="D50" s="52" t="n">
        <f aca="false">C26</f>
        <v>128700</v>
      </c>
      <c r="E50" s="53" t="n">
        <f aca="false">E11</f>
        <v>0.0002</v>
      </c>
      <c r="F50" s="53" t="n">
        <f aca="false">B8</f>
        <v>0.0008</v>
      </c>
      <c r="G50" s="54" t="n">
        <f aca="false">(L5+M5)*SQRT(E50*(1-E50)*(1/C50+1/D50))</f>
        <v>0.000254510648489317</v>
      </c>
      <c r="H50" s="52" t="n">
        <f aca="false">CEILING((L5+M5)^2*(E50*(1-E50)+(E50+F50)*(1-(E50+F50)))/F50^2,1)</f>
        <v>24344</v>
      </c>
      <c r="I50" s="55" t="str">
        <f aca="false">IF(G50&lt;=F50,"✅  YES","❌  NO")</f>
        <v>✅  YES</v>
      </c>
      <c r="J50" s="56" t="str">
        <f aca="false">IF(G50&lt;=F50,"Conclusive",IF(G50&lt;=F50*1.3,"Directional","⚠ raise ctrl %))))))))))))))</f>
        <v>Conclusive</v>
      </c>
      <c r="K50" s="56"/>
    </row>
    <row r="51" customFormat="false" ht="19.5" hidden="false" customHeight="true" outlineLevel="0" collapsed="false">
      <c r="A51" s="3"/>
      <c r="B51" s="51" t="s">
        <v>87</v>
      </c>
      <c r="C51" s="52" t="n">
        <f aca="false">C25</f>
        <v>55851</v>
      </c>
      <c r="D51" s="52" t="n">
        <f aca="false">C26</f>
        <v>128700</v>
      </c>
      <c r="E51" s="53" t="n">
        <f aca="false">E11</f>
        <v>0.0002</v>
      </c>
      <c r="F51" s="53" t="n">
        <f aca="false">C8</f>
        <v>0.0007</v>
      </c>
      <c r="G51" s="54" t="n">
        <f aca="false">(L5+M5)*SQRT(E51*(1-E51)*(1/C51+1/D51))</f>
        <v>0.000258290427684327</v>
      </c>
      <c r="H51" s="52" t="n">
        <f aca="false">CEILING((L5+M5)^2*(E51*(1-E51)+(E51+F51)*(1-(E51+F51)))/F51^2,1)</f>
        <v>29150</v>
      </c>
      <c r="I51" s="55" t="str">
        <f aca="false">IF(G51&lt;=F51,"✅  YES","❌  NO")</f>
        <v>✅  YES</v>
      </c>
      <c r="J51" s="56" t="str">
        <f aca="false">IF(G51&lt;=F51,"Conclusive",IF(G51&lt;=F51*1.3,"Directional","⚠ raise ctrl %))))))))))))))</f>
        <v>Conclusive</v>
      </c>
      <c r="K51" s="56"/>
    </row>
    <row r="52" customFormat="false" ht="6" hidden="false" customHeight="true" outlineLevel="0" collapsed="false">
      <c r="A52" s="3"/>
      <c r="B52" s="51" t="s">
        <v>88</v>
      </c>
      <c r="C52" s="52" t="n">
        <f aca="false">D24</f>
        <v>58279</v>
      </c>
      <c r="D52" s="52" t="n">
        <f aca="false">D26</f>
        <v>128700</v>
      </c>
      <c r="E52" s="53" t="n">
        <f aca="false">E11</f>
        <v>0.0002</v>
      </c>
      <c r="F52" s="53" t="n">
        <f aca="false">B8</f>
        <v>0.0008</v>
      </c>
      <c r="G52" s="54" t="n">
        <f aca="false">(L5+M5)*SQRT(E52*(1-E52)*(1/C52+1/D52))</f>
        <v>0.000254510648489317</v>
      </c>
      <c r="H52" s="52" t="n">
        <f aca="false">CEILING((L5+M5)^2*(E52*(1-E52)+(E52+F52)*(1-(E52+F52)))/F52^2,1)</f>
        <v>24344</v>
      </c>
      <c r="I52" s="55" t="str">
        <f aca="false">IF(G52&lt;=F52,"✅  YES","❌  NO")</f>
        <v>✅  YES</v>
      </c>
      <c r="J52" s="56" t="str">
        <f aca="false">IF(G52&lt;=F52,"Conclusive",IF(G52&lt;=F52*1.3,"Directional","⚠ raise ctrl %))))))))))))))</f>
        <v>Conclusive</v>
      </c>
      <c r="K52" s="56"/>
    </row>
    <row r="53" customFormat="false" ht="18" hidden="false" customHeight="true" outlineLevel="0" collapsed="false">
      <c r="A53" s="3"/>
      <c r="B53" s="51" t="s">
        <v>89</v>
      </c>
      <c r="C53" s="52" t="n">
        <f aca="false">D25</f>
        <v>55851</v>
      </c>
      <c r="D53" s="52" t="n">
        <f aca="false">D26</f>
        <v>128700</v>
      </c>
      <c r="E53" s="53" t="n">
        <f aca="false">E11</f>
        <v>0.0002</v>
      </c>
      <c r="F53" s="53" t="n">
        <f aca="false">C8</f>
        <v>0.0007</v>
      </c>
      <c r="G53" s="54" t="n">
        <f aca="false">(L5+M5)*SQRT(E53*(1-E53)*(1/C53+1/D53))</f>
        <v>0.000258290427684327</v>
      </c>
      <c r="H53" s="52" t="n">
        <f aca="false">CEILING((L5+M5)^2*(E53*(1-E53)+(E53+F53)*(1-(E53+F53)))/F53^2,1)</f>
        <v>29150</v>
      </c>
      <c r="I53" s="55" t="str">
        <f aca="false">IF(G53&lt;=F53,"✅  YES","❌  NO")</f>
        <v>✅  YES</v>
      </c>
      <c r="J53" s="56" t="str">
        <f aca="false">IF(G53&lt;=F53,"Conclusive",IF(G53&lt;=F53*1.3,"Directional","⚠ raise ctrl %))))))))))))))</f>
        <v>Conclusive</v>
      </c>
    </row>
    <row r="54" customFormat="false" ht="19.5" hidden="false" customHeight="true" outlineLevel="0" collapsed="false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customFormat="false" ht="21.75" hidden="false" customHeight="true" outlineLevel="0" collapsed="false">
      <c r="A55" s="3"/>
      <c r="B55" s="6" t="s">
        <v>90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customFormat="false" ht="21.75" hidden="false" customHeight="true" outlineLevel="0" collapsed="false">
      <c r="A56" s="3"/>
      <c r="B56" s="24" t="s">
        <v>91</v>
      </c>
      <c r="C56" s="24" t="s">
        <v>92</v>
      </c>
      <c r="D56" s="24" t="s">
        <v>93</v>
      </c>
      <c r="E56" s="24" t="s">
        <v>94</v>
      </c>
      <c r="F56" s="24" t="s">
        <v>95</v>
      </c>
      <c r="G56" s="25"/>
      <c r="H56" s="25"/>
      <c r="I56" s="25"/>
      <c r="J56" s="25"/>
      <c r="K56" s="25"/>
      <c r="L56" s="25"/>
      <c r="M56" s="25"/>
    </row>
    <row r="57" customFormat="false" ht="21.75" hidden="false" customHeight="true" outlineLevel="0" collapsed="false">
      <c r="A57" s="3"/>
      <c r="B57" s="57" t="s">
        <v>96</v>
      </c>
      <c r="C57" s="58" t="n">
        <f aca="false">CEILING((L5+M5)^2*(I5*(1-I5)+(I5+B8)*(1-(I5+B8)))/B8^2,1)/B5/F5</f>
        <v>0.281902578718683</v>
      </c>
      <c r="D57" s="59" t="n">
        <f aca="false">ROUND(B5*C55*F5,0)</f>
        <v>0</v>
      </c>
      <c r="E57" s="60" t="n">
        <f aca="false">C5</f>
        <v>0.1</v>
      </c>
      <c r="F57" s="61" t="str">
        <f aca="false">IF(C5&gt;=C57,"✅  Powered","❌  Need "&amp;TEXT(C57,"0.00%"))</f>
        <v>❌  Need 28.19%</v>
      </c>
      <c r="G57" s="62"/>
      <c r="H57" s="62"/>
      <c r="I57" s="62"/>
      <c r="J57" s="62"/>
      <c r="K57" s="62"/>
      <c r="L57" s="62"/>
      <c r="M57" s="62"/>
    </row>
    <row r="58" customFormat="false" ht="25.5" hidden="false" customHeight="true" outlineLevel="0" collapsed="false">
      <c r="A58" s="3"/>
      <c r="B58" s="57" t="s">
        <v>97</v>
      </c>
      <c r="C58" s="58" t="n">
        <f aca="false">CEILING((L5+M5)^2*(I5*(1-I5)+(I5+C8)*(1-(I5+C8)))/C8^2,1)/B5/G5</f>
        <v>0.362886871051282</v>
      </c>
      <c r="D58" s="59" t="n">
        <f aca="false">ROUND(B5*C58*G5,0)</f>
        <v>45039</v>
      </c>
      <c r="E58" s="60" t="n">
        <f aca="false">C5</f>
        <v>0.1</v>
      </c>
      <c r="F58" s="61" t="str">
        <f aca="false">IF(C5&gt;=C58,"✅  Powered","❌  Need "&amp;TEXT(C58,"0.00%"))</f>
        <v>❌  Need 36.29%</v>
      </c>
      <c r="G58" s="62"/>
      <c r="H58" s="62"/>
      <c r="I58" s="62"/>
      <c r="J58" s="62"/>
      <c r="K58" s="62"/>
      <c r="L58" s="62"/>
      <c r="M58" s="62"/>
    </row>
    <row r="59" customFormat="false" ht="27.75" hidden="false" customHeight="true" outlineLevel="0" collapsed="false">
      <c r="A59" s="3"/>
      <c r="B59" s="57" t="s">
        <v>98</v>
      </c>
      <c r="C59" s="58" t="n">
        <f aca="false">CEILING((L5+M5)^2*(I5*(1-I5)+(I5+D8)*(1-(I5+D8)))/D8^2,1)/B5/H5</f>
        <v>0.272391932214185</v>
      </c>
      <c r="D59" s="59" t="n">
        <f aca="false">ROUND(B5*C59*H5,0)</f>
        <v>77904</v>
      </c>
      <c r="E59" s="60" t="n">
        <f aca="false">C5</f>
        <v>0.1</v>
      </c>
      <c r="F59" s="61" t="str">
        <f aca="false">IF(C5&gt;=C59,"✅  Powered","❌  Need "&amp;TEXT(C59,"0.00%"))</f>
        <v>❌  Need 27.24%</v>
      </c>
      <c r="G59" s="62"/>
      <c r="H59" s="62"/>
      <c r="I59" s="62"/>
      <c r="J59" s="62"/>
      <c r="K59" s="62"/>
      <c r="L59" s="62"/>
      <c r="M59" s="62"/>
    </row>
    <row r="60" customFormat="false" ht="15" hidden="false" customHeight="true" outlineLevel="0" collapsed="false">
      <c r="A60" s="3"/>
      <c r="B60" s="63" t="s">
        <v>99</v>
      </c>
      <c r="C60" s="23"/>
      <c r="D60" s="23"/>
      <c r="E60" s="64" t="n">
        <f aca="false">MAX(C57:C59)</f>
        <v>0.362886871051282</v>
      </c>
      <c r="F60" s="62"/>
      <c r="G60" s="62"/>
      <c r="H60" s="62"/>
      <c r="I60" s="62"/>
      <c r="J60" s="62"/>
      <c r="K60" s="62"/>
      <c r="L60" s="62"/>
      <c r="M60" s="62"/>
    </row>
    <row r="61" customFormat="false" ht="15" hidden="false" customHeight="true" outlineLevel="0" collapsed="false">
      <c r="A61" s="3"/>
      <c r="B61" s="65" t="str">
        <f aca="false">IF(C5&gt;=E60,"✅  Control % ("&amp;TEXT(C5,"0.00%")&amp;") is sufficient — all cells powered.","❌  Control % ("&amp;TEXT(C5,"0.00%")&amp;") is BELOW minimum required ("&amp;TEXT(E60,"0.00%")&amp;"). Raise control % or treat red cells as directional.")</f>
        <v>❌  Control % (10.00%) is BELOW minimum required (36.29%). Raise control % or treat red cells as directional.</v>
      </c>
      <c r="C61" s="65"/>
      <c r="D61" s="65"/>
      <c r="E61" s="65"/>
      <c r="F61" s="65"/>
      <c r="G61" s="65"/>
      <c r="H61" s="65"/>
      <c r="I61" s="65"/>
      <c r="J61" s="65"/>
      <c r="K61" s="65"/>
    </row>
    <row r="62" customFormat="false" ht="15" hidden="false" customHeight="true" outlineLevel="0" collapsed="false">
      <c r="A62" s="3"/>
    </row>
  </sheetData>
  <mergeCells count="11">
    <mergeCell ref="A1:M1"/>
    <mergeCell ref="B3:E3"/>
    <mergeCell ref="F3:H3"/>
    <mergeCell ref="I3:M3"/>
    <mergeCell ref="B9:K9"/>
    <mergeCell ref="H10:K10"/>
    <mergeCell ref="B12:F12"/>
    <mergeCell ref="B14:F14"/>
    <mergeCell ref="B29:K29"/>
    <mergeCell ref="B31:K31"/>
    <mergeCell ref="B61:K61"/>
  </mergeCells>
  <conditionalFormatting sqref="I29:I52">
    <cfRule type="cellIs" priority="2" operator="equal" aboveAverage="0" equalAverage="0" bottom="0" percent="0" rank="0" text="" dxfId="0">
      <formula>"✅  YES"</formula>
    </cfRule>
    <cfRule type="cellIs" priority="3" operator="equal" aboveAverage="0" equalAverage="0" bottom="0" percent="0" rank="0" text="" dxfId="1">
      <formula>"❌  NO"</formula>
    </cfRule>
  </conditionalFormatting>
  <conditionalFormatting sqref="B59:K59">
    <cfRule type="expression" priority="4" aboveAverage="0" equalAverage="0" bottom="0" percent="0" rank="0" text="" dxfId="0">
      <formula>LEFT(B59,2)="✅"</formula>
    </cfRule>
    <cfRule type="expression" priority="5" aboveAverage="0" equalAverage="0" bottom="0" percent="0" rank="0" text="" dxfId="1">
      <formula>LEFT(B59,2)="❌"</formula>
    </cfRule>
  </conditionalFormatting>
  <conditionalFormatting sqref="F55:F58">
    <cfRule type="expression" priority="6" aboveAverage="0" equalAverage="0" bottom="0" percent="0" rank="0" text="" dxfId="0">
      <formula>LEFT(F55,2)="✅"</formula>
    </cfRule>
    <cfRule type="expression" priority="7" aboveAverage="0" equalAverage="0" bottom="0" percent="0" rank="0" text="" dxfId="1">
      <formula>LEFT(F55,2)="❌"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2026-03-16T16:18:35Z</dcterms:created>
  <dc:creator>openpyxl</dc:creator>
  <dc:description/>
  <dc:language>en-US</dc:language>
  <cp:lastModifiedBy/>
  <dcterms:modified xsi:type="dcterms:W3CDTF">2026-03-16T16:57:52Z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